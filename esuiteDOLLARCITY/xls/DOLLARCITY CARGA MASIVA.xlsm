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xls\"/>
    </mc:Choice>
  </mc:AlternateContent>
  <xr:revisionPtr revIDLastSave="0" documentId="13_ncr:1_{7BE03ABB-60D6-4A2E-B6C6-6888F92B83DC}" xr6:coauthVersionLast="47" xr6:coauthVersionMax="47" xr10:uidLastSave="{00000000-0000-0000-0000-000000000000}"/>
  <bookViews>
    <workbookView xWindow="-120" yWindow="-120" windowWidth="20730" windowHeight="11280" activeTab="1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37" l="1"/>
  <c r="E29" i="37"/>
  <c r="E32" i="37" l="1"/>
  <c r="E33" i="37"/>
  <c r="E35" i="37"/>
  <c r="E36" i="37"/>
  <c r="E37" i="37"/>
  <c r="E38" i="37"/>
  <c r="E39" i="37"/>
  <c r="E41" i="37"/>
  <c r="E53" i="37" s="1"/>
  <c r="E42" i="37"/>
  <c r="E43" i="37"/>
  <c r="E44" i="37"/>
  <c r="E45" i="37"/>
  <c r="E46" i="37"/>
  <c r="A46" i="37" s="1"/>
  <c r="E48" i="37"/>
  <c r="E49" i="37"/>
  <c r="E50" i="37"/>
  <c r="E51" i="37"/>
  <c r="E52" i="37"/>
  <c r="E54" i="37"/>
  <c r="E55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8" i="37"/>
  <c r="E69" i="37"/>
  <c r="E70" i="37"/>
  <c r="E71" i="37"/>
  <c r="E72" i="37"/>
  <c r="A72" i="37" s="1"/>
  <c r="E74" i="37"/>
  <c r="E75" i="37"/>
  <c r="E76" i="37"/>
  <c r="E77" i="37"/>
  <c r="E78" i="37"/>
  <c r="E80" i="37"/>
  <c r="E81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4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7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0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3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6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59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2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5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8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1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4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7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0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3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6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89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2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5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8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1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4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7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0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3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6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19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2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5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8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1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4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7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0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3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6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49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2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5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8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1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4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7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0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3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6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79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2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5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8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1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4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7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0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3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6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09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2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5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8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1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4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7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0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3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6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39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2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5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8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1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4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7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0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3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6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69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2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5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8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1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4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7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0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3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6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199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2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5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8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1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4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7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0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3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6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29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A1347" i="37" s="1"/>
  <c r="E21" i="37"/>
  <c r="A21" i="37" s="1"/>
  <c r="E20" i="37"/>
  <c r="G45" i="37" l="1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A1345" i="37"/>
  <c r="G1345" i="37" s="1"/>
  <c r="A1346" i="37"/>
  <c r="G1346" i="37" s="1"/>
  <c r="G1347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77" i="37" l="1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A12" i="37"/>
  <c r="G12" i="37" s="1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<sst xmlns="http://schemas.openxmlformats.org/spreadsheetml/2006/main" count="5261" uniqueCount="1552">
  <si>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</si>
  <si>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</si>
  <si>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</si>
  <si>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</si>
  <si>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</si>
  <si>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</si>
  <si>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</si>
  <si>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</si>
  <si>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</si>
  <si>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</si>
  <si>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</si>
  <si>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</si>
  <si>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</si>
  <si>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</si>
  <si>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</si>
  <si>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</si>
  <si>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</si>
  <si>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</si>
  <si>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</si>
  <si>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</si>
  <si>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</si>
  <si>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</si>
  <si>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</si>
  <si>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</si>
  <si>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</si>
  <si>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</si>
  <si>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</si>
  <si>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</si>
  <si>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</si>
  <si>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</si>
  <si>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</si>
  <si>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</si>
  <si>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</si>
  <si>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</si>
  <si>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</si>
  <si>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</si>
  <si>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</si>
  <si>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</si>
  <si>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</si>
  <si>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</si>
  <si>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</si>
  <si>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</si>
  <si>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</si>
  <si>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</si>
  <si>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</si>
  <si>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</si>
  <si>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</si>
  <si>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</si>
  <si>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</si>
  <si>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</si>
  <si>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</si>
  <si>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</si>
  <si>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</si>
  <si>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</si>
  <si>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</si>
  <si>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</si>
  <si>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</si>
  <si>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</si>
  <si>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</si>
  <si>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</si>
  <si>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</si>
  <si>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</si>
  <si>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</si>
  <si>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</si>
  <si>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</si>
  <si>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</si>
  <si>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</si>
  <si>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</si>
  <si>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</si>
  <si>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</si>
  <si>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</si>
  <si>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</si>
  <si>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</si>
  <si>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</si>
  <si>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</si>
  <si>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</si>
  <si>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</si>
  <si>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</si>
  <si>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</si>
  <si>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</si>
  <si>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</si>
  <si>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</si>
  <si>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</si>
  <si>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</si>
  <si>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</si>
  <si>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</si>
  <si>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</si>
  <si>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</si>
  <si>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</si>
  <si>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</si>
  <si>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</si>
  <si>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</si>
  <si>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</si>
  <si>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</si>
  <si>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</si>
  <si>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</si>
  <si>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</si>
  <si>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</si>
  <si>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</si>
  <si>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</si>
  <si>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</si>
  <si>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</si>
  <si>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</si>
  <si>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</si>
  <si>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</si>
  <si>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</si>
  <si>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</si>
  <si>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</si>
  <si>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</si>
  <si>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</si>
  <si>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</si>
  <si>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</si>
  <si>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</si>
  <si>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</si>
  <si>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</si>
  <si>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</si>
  <si>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</si>
  <si>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</si>
  <si>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</si>
  <si>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</si>
  <si>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</si>
  <si>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</si>
  <si>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</si>
  <si>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</si>
  <si>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</si>
  <si>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</si>
  <si>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</si>
  <si>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</si>
  <si>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</si>
  <si>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</si>
  <si>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</si>
  <si>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</si>
  <si>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</si>
  <si>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</si>
  <si>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</si>
  <si>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</si>
  <si>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</si>
  <si>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</si>
  <si>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</si>
  <si>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</si>
  <si>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</si>
  <si>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</si>
  <si>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</si>
  <si>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</si>
  <si>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</si>
  <si>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</si>
  <si>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</si>
  <si>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</si>
  <si>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</si>
  <si>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</si>
  <si>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</si>
  <si>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</si>
  <si>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</si>
  <si>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</si>
  <si>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</si>
  <si>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</si>
  <si>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</si>
  <si>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</si>
  <si>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</si>
  <si>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</si>
  <si>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</si>
  <si>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</si>
  <si>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</si>
  <si>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</si>
  <si>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</si>
  <si>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</si>
  <si>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</si>
  <si>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</si>
  <si>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</si>
  <si>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</si>
  <si>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</si>
  <si>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</si>
  <si>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</si>
  <si>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</si>
  <si>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</si>
  <si>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</si>
  <si>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</si>
  <si>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</si>
  <si>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</si>
  <si>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</si>
  <si>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</si>
  <si>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</si>
  <si>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</si>
  <si>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</si>
  <si>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</si>
  <si>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</si>
  <si>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</si>
  <si>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</si>
  <si>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</si>
  <si>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</si>
  <si>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</si>
  <si>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</si>
  <si>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</si>
  <si>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</si>
  <si>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</si>
  <si>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</si>
  <si>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</si>
  <si>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</si>
  <si>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</si>
  <si>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</si>
  <si>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0.00</t>
  </si>
  <si>
    <t>INDEXE</t>
  </si>
  <si>
    <t>ITEM1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</si>
  <si>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</si>
  <si>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</si>
  <si>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</si>
  <si>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</si>
  <si>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</si>
  <si>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</si>
  <si>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</si>
  <si>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</si>
  <si>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</si>
  <si>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</si>
  <si>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</si>
  <si>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</si>
  <si>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</si>
  <si>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</si>
  <si>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</si>
  <si>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</si>
  <si>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</si>
  <si>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</si>
  <si>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</si>
  <si>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</si>
  <si>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</si>
  <si>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</si>
  <si>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</si>
  <si>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</si>
  <si>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</si>
  <si>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</si>
  <si>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</si>
  <si>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</si>
  <si>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</si>
  <si>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</si>
  <si>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</si>
  <si>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</si>
  <si>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</si>
  <si>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</si>
  <si>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</si>
  <si>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</si>
  <si>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</si>
  <si>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</si>
  <si>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</si>
  <si>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</si>
  <si>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</si>
  <si>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</si>
  <si>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</si>
  <si>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</si>
  <si>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</si>
  <si>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</si>
  <si>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</si>
  <si>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</si>
  <si>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</si>
  <si>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</si>
  <si>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</si>
  <si>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</si>
  <si>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</si>
  <si>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</si>
  <si>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F001</t>
  </si>
  <si>
    <t>Andrea Alessandra Vizcardo Gonzales</t>
  </si>
  <si>
    <t xml:space="preserve">Urb. Albino Herrera MZA J lote 20, 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</si>
  <si>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</si>
  <si>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</si>
  <si>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</si>
  <si>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</si>
  <si>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</si>
  <si>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</si>
  <si>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</si>
  <si>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</si>
  <si>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</si>
  <si>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</si>
  <si>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</si>
  <si>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</si>
  <si>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</si>
  <si>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</si>
  <si>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</si>
  <si>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</si>
  <si>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</si>
  <si>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</si>
  <si>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</si>
  <si>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</si>
  <si>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</si>
  <si>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</si>
  <si>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</si>
  <si>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</si>
  <si>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</si>
  <si>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</si>
  <si>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</si>
  <si>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</si>
  <si>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</si>
  <si>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</si>
  <si>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</si>
  <si>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</si>
  <si>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</si>
  <si>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</si>
  <si>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</si>
  <si>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</si>
  <si>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</si>
  <si>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</si>
  <si>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</si>
  <si>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</si>
  <si>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</si>
  <si>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</si>
  <si>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</si>
  <si>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</si>
  <si>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</si>
  <si>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</si>
  <si>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</si>
  <si>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</si>
  <si>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</si>
  <si>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</si>
  <si>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</si>
  <si>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</si>
  <si>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</si>
  <si>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</si>
  <si>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</si>
  <si>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</si>
  <si>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</si>
  <si>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</si>
  <si>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</si>
  <si>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</si>
  <si>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</si>
  <si>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</si>
  <si>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</si>
  <si>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</si>
  <si>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</si>
  <si>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</si>
  <si>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</si>
  <si>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</si>
  <si>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</si>
  <si>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</si>
  <si>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</si>
  <si>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</si>
  <si>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</si>
  <si>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</si>
  <si>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</si>
  <si>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</si>
  <si>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</si>
  <si>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</si>
  <si>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</si>
  <si>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</si>
  <si>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</si>
  <si>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</si>
  <si>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</si>
  <si>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</si>
  <si>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</si>
  <si>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</si>
  <si>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</si>
  <si>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</si>
  <si>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</si>
  <si>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</si>
  <si>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</si>
  <si>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</si>
  <si>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</si>
  <si>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</si>
  <si>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</si>
  <si>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</si>
  <si>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</si>
  <si>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</si>
  <si>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</si>
  <si>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</si>
  <si>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</si>
  <si>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</si>
  <si>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</si>
  <si>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</si>
  <si>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</si>
  <si>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</si>
  <si>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</si>
  <si>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</si>
  <si>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</si>
  <si>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</si>
  <si>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</si>
  <si>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</si>
  <si>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</si>
  <si>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</si>
  <si>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</si>
  <si>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</si>
  <si>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</si>
  <si>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</si>
  <si>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</si>
  <si>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</si>
  <si>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</si>
  <si>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</si>
  <si>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</si>
  <si>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</si>
  <si>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</si>
  <si>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</si>
  <si>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</si>
  <si>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</si>
  <si>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</si>
  <si>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</si>
  <si>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</si>
  <si>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</si>
  <si>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</si>
  <si>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</si>
  <si>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</si>
  <si>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</si>
  <si>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</si>
  <si>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</si>
  <si>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</si>
  <si>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</si>
  <si>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</si>
  <si>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</si>
  <si>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</si>
  <si>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</si>
  <si>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</si>
  <si>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</si>
  <si>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</si>
  <si>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</si>
  <si>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</si>
  <si>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</si>
  <si>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</si>
  <si>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</si>
  <si>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</si>
  <si>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</si>
  <si>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</si>
  <si>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</si>
  <si>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</si>
  <si>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</si>
  <si>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</si>
  <si>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</si>
  <si>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</si>
  <si>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</si>
  <si>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</si>
  <si>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</si>
  <si>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</si>
  <si>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</si>
  <si>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</si>
  <si>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</si>
  <si>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</si>
  <si>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</si>
  <si>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</si>
  <si>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</si>
  <si>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</si>
  <si>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</si>
  <si>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</si>
  <si>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</si>
  <si>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</si>
  <si>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</si>
  <si>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</si>
  <si>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</si>
  <si>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</si>
  <si>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</si>
  <si>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</si>
  <si>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</si>
  <si>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</si>
  <si>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</si>
  <si>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</si>
  <si>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</si>
  <si>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</si>
  <si>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</si>
  <si>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</si>
  <si>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</si>
  <si>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</si>
  <si>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</si>
  <si>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</si>
  <si>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</si>
  <si>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</si>
  <si>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</si>
  <si>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</si>
  <si>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</si>
  <si>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</si>
  <si>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</si>
  <si>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</si>
  <si>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</si>
  <si>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</si>
  <si>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</si>
  <si>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</si>
  <si>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</si>
  <si>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</si>
  <si>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</si>
  <si>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</si>
  <si>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</si>
  <si>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</si>
  <si>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</si>
  <si>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</si>
  <si>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</si>
  <si>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</si>
  <si>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</si>
  <si>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</si>
  <si>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</si>
  <si>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</si>
  <si>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</si>
  <si>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</si>
  <si>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</si>
  <si>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</si>
  <si>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</si>
  <si>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</si>
  <si>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</si>
  <si>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</si>
  <si>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</si>
  <si>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</si>
  <si>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</si>
  <si>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</si>
  <si>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</si>
  <si>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</si>
  <si>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</si>
  <si>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</si>
  <si>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</si>
  <si>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</si>
  <si>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</si>
  <si>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</si>
  <si>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</si>
  <si>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</si>
  <si>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</si>
  <si>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</si>
  <si>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</si>
  <si>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</si>
  <si>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</si>
  <si>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</si>
  <si>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</si>
  <si>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</si>
  <si>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</si>
  <si>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</si>
  <si>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</si>
  <si>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</si>
  <si>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</si>
  <si>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</si>
  <si>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</si>
  <si>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</si>
  <si>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</si>
  <si>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</si>
  <si>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</si>
  <si>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</si>
  <si>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</si>
  <si>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</si>
  <si>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</si>
  <si>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</si>
  <si>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</si>
  <si>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</si>
  <si>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</si>
  <si>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</si>
  <si>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</si>
  <si>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</si>
  <si>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</si>
  <si>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</si>
  <si>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</si>
  <si>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</si>
  <si>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</si>
  <si>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</si>
  <si>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</si>
  <si>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</si>
  <si>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</si>
  <si>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</si>
  <si>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</si>
  <si>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</si>
  <si>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</si>
  <si>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</si>
  <si>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</si>
  <si>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</si>
  <si>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</si>
  <si>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</si>
  <si>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</si>
  <si>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</si>
  <si>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</si>
  <si>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</si>
  <si>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</si>
  <si>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</si>
  <si>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</si>
  <si>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</si>
  <si>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</si>
  <si>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</si>
  <si>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</si>
  <si>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</si>
  <si>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</si>
  <si>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</si>
  <si>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</si>
  <si>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</si>
  <si>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</si>
  <si>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</si>
  <si>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</si>
  <si>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</si>
  <si>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</si>
  <si>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</si>
  <si>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</si>
  <si>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</si>
  <si>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</si>
  <si>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</si>
  <si>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</si>
  <si>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</si>
  <si>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</si>
  <si>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</si>
  <si>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</si>
  <si>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</si>
  <si>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</si>
  <si>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</si>
  <si>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</si>
  <si>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</si>
  <si>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</si>
  <si>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</si>
  <si>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</si>
  <si>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</si>
  <si>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</si>
  <si>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</si>
  <si>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</si>
  <si>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</si>
  <si>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</si>
  <si>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</si>
  <si>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</si>
  <si>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</si>
  <si>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</si>
  <si>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</si>
  <si>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</si>
  <si>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</si>
  <si>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</si>
  <si>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</si>
  <si>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</si>
  <si>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</si>
  <si>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</si>
  <si>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</si>
  <si>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</si>
  <si>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</si>
  <si>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</si>
  <si>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</si>
  <si>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</si>
  <si>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</si>
  <si>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</si>
  <si>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</si>
  <si>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</si>
  <si>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</si>
  <si>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</si>
  <si>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</si>
  <si>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</si>
  <si>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</si>
  <si>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</si>
  <si>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</si>
  <si>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</si>
  <si>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</si>
  <si>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</si>
  <si>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</si>
  <si>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</si>
  <si>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</si>
  <si>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</si>
  <si>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</si>
  <si>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</si>
  <si>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</si>
  <si>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</si>
  <si>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</si>
  <si>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</si>
  <si>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</si>
  <si>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</si>
  <si>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</si>
  <si>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</si>
  <si>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</si>
  <si>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</si>
  <si>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</si>
  <si>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</si>
  <si>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</si>
  <si>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</si>
  <si>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</si>
  <si>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</si>
  <si>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</si>
  <si>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</si>
  <si>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</si>
  <si>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</si>
  <si>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</si>
  <si>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</si>
  <si>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</si>
  <si>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</si>
  <si>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</si>
  <si>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</si>
  <si>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</si>
  <si>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</si>
  <si>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</si>
  <si>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</si>
  <si>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</si>
  <si>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</si>
  <si>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</si>
  <si>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</si>
  <si>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</si>
  <si>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</si>
  <si>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</si>
  <si>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</si>
  <si>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</si>
  <si>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</si>
  <si>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</si>
  <si>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</si>
  <si>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</si>
  <si>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</si>
  <si>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</si>
  <si>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</si>
  <si>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</si>
  <si>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</si>
  <si>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</si>
  <si>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</si>
  <si>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</si>
  <si>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</si>
  <si>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</si>
  <si>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</si>
  <si>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</si>
  <si>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</si>
  <si>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</si>
  <si>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</si>
  <si>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</si>
  <si>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</si>
  <si>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</si>
  <si>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</si>
  <si>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</si>
  <si>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</si>
  <si>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</si>
  <si>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</si>
  <si>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</si>
  <si>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</si>
  <si>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</si>
  <si>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</si>
  <si>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</si>
  <si>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</si>
  <si>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</si>
  <si>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</si>
  <si>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</si>
  <si>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</si>
  <si>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</si>
  <si>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</si>
  <si>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</si>
  <si>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</si>
  <si>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</si>
  <si>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</si>
  <si>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</si>
  <si>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</si>
  <si>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</si>
  <si>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</si>
  <si>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</si>
  <si>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</si>
  <si>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</si>
  <si>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</si>
  <si>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</si>
  <si>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</si>
  <si>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</si>
  <si>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</si>
  <si>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</si>
  <si>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</si>
  <si>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</si>
  <si>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</si>
  <si>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</si>
  <si>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</si>
  <si>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</si>
  <si>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</si>
  <si>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</si>
  <si>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</si>
  <si>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</si>
  <si>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</si>
  <si>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</si>
  <si>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</si>
  <si>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</si>
  <si>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</si>
  <si>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</si>
  <si>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</si>
  <si>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</si>
  <si>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</si>
  <si>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</si>
  <si>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</si>
  <si>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</si>
  <si>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</si>
  <si>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</si>
  <si>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</si>
  <si>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</si>
  <si>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</si>
  <si>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</si>
  <si>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</si>
  <si>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</si>
  <si>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</si>
  <si>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</si>
  <si>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</si>
  <si>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</si>
  <si>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</si>
  <si>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</si>
  <si>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</si>
  <si>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</si>
  <si>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</si>
  <si>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</si>
  <si>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</si>
  <si>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</si>
  <si>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</si>
  <si>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</si>
  <si>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</si>
  <si>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</si>
  <si>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</si>
  <si>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</si>
  <si>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</si>
  <si>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</si>
  <si>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</si>
  <si>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</si>
  <si>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</si>
  <si>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</si>
  <si>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</si>
  <si>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</si>
  <si>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</si>
  <si>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</si>
  <si>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</si>
  <si>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</si>
  <si>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</si>
  <si>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</si>
  <si>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</si>
  <si>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</si>
  <si>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</si>
  <si>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</si>
  <si>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</si>
  <si>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</si>
  <si>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</si>
  <si>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</si>
  <si>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</si>
  <si>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</si>
  <si>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</si>
  <si>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</si>
  <si>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</si>
  <si>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</si>
  <si>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</si>
  <si>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</si>
  <si>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</si>
  <si>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</si>
  <si>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</si>
  <si>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</si>
  <si>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</si>
  <si>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</si>
  <si>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</si>
  <si>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</si>
  <si>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</si>
  <si>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</si>
  <si>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</si>
  <si>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</si>
  <si>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</si>
  <si>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</si>
  <si>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</si>
  <si>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</si>
  <si>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</si>
  <si>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</si>
  <si>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</si>
  <si>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</si>
  <si>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</si>
  <si>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</si>
  <si>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</si>
  <si>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</si>
  <si>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</si>
  <si>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</si>
  <si>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</si>
  <si>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</si>
  <si>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</si>
  <si>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</si>
  <si>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</si>
  <si>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</si>
  <si>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</si>
  <si>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</si>
  <si>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</si>
  <si>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</si>
  <si>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</si>
  <si>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</si>
  <si>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</si>
  <si>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</si>
  <si>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</si>
  <si>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</si>
  <si>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</si>
  <si>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</si>
  <si>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</si>
  <si>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</si>
  <si>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</si>
  <si>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</si>
  <si>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</si>
  <si>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</si>
  <si>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</si>
  <si>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</si>
  <si>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</si>
  <si>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</si>
  <si>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</si>
  <si>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</si>
  <si>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</si>
  <si>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</si>
  <si>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</si>
  <si>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</si>
  <si>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</si>
  <si>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</si>
  <si>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</si>
  <si>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</si>
  <si>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</si>
  <si>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</si>
  <si>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</si>
  <si>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</si>
  <si>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</si>
  <si>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</si>
  <si>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</si>
  <si>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</si>
  <si>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</si>
  <si>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</si>
  <si>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</si>
  <si>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</si>
  <si>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</si>
  <si>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</si>
  <si>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</si>
  <si>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</si>
  <si>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</si>
  <si>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</si>
  <si>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</si>
  <si>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</si>
  <si>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</si>
  <si>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</si>
  <si>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</si>
  <si>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</si>
  <si>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</si>
  <si>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</si>
  <si>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</si>
  <si>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</si>
  <si>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</si>
  <si>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</si>
  <si>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</si>
  <si>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</si>
  <si>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</si>
  <si>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</si>
  <si>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</si>
  <si>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</si>
  <si>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</si>
  <si>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</si>
  <si>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</si>
  <si>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</si>
  <si>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</si>
  <si>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</si>
  <si>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</si>
  <si>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</si>
  <si>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</si>
  <si>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</si>
  <si>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</si>
  <si>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</si>
  <si>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</si>
  <si>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</si>
  <si>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</si>
  <si>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</si>
  <si>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</si>
  <si>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</si>
  <si>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</si>
  <si>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</si>
  <si>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</si>
  <si>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</si>
  <si>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</si>
  <si>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</si>
  <si>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</si>
  <si>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</si>
  <si>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</si>
  <si>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</si>
  <si>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</si>
  <si>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</si>
  <si>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</si>
  <si>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</si>
  <si>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</si>
  <si>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</si>
  <si>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</si>
  <si>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</si>
  <si>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</si>
  <si>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</si>
  <si>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</si>
  <si>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</si>
  <si>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</si>
  <si>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</si>
  <si>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</si>
  <si>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</si>
  <si>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</si>
  <si>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</si>
  <si>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</si>
  <si>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</si>
  <si>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</si>
  <si>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</si>
  <si>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</si>
  <si>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</si>
  <si>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</si>
  <si>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</si>
  <si>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</si>
  <si>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</si>
  <si>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</si>
  <si>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</si>
  <si>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</si>
  <si>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</si>
  <si>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</si>
  <si>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</si>
  <si>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</si>
  <si>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</si>
  <si>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</si>
  <si>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</si>
  <si>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</si>
  <si>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</si>
  <si>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</si>
  <si>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</si>
  <si>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</si>
  <si>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</si>
  <si>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</si>
  <si>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</si>
  <si>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</si>
  <si>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</si>
  <si>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</si>
  <si>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</si>
  <si>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</si>
  <si>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</si>
  <si>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</si>
  <si>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</si>
  <si>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</si>
  <si>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</si>
  <si>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</si>
  <si>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</si>
  <si>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</si>
  <si>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</si>
  <si>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</si>
  <si>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</si>
  <si>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</si>
  <si>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</si>
  <si>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</si>
  <si>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</si>
  <si>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</si>
  <si>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</si>
  <si>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</si>
  <si>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</si>
  <si>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</si>
  <si>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</si>
  <si>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</si>
  <si>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</si>
  <si>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</si>
  <si>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</si>
  <si>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</si>
  <si>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</si>
  <si>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</si>
  <si>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</si>
  <si>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</si>
  <si>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</si>
  <si>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</si>
  <si>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</si>
  <si>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</si>
  <si>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</si>
  <si>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</si>
  <si>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</si>
  <si>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</si>
  <si>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</si>
  <si>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</si>
  <si>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</si>
  <si>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</si>
  <si>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</si>
  <si>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</si>
  <si>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</si>
  <si>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</si>
  <si>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</si>
  <si>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</si>
  <si>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</si>
  <si>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</si>
  <si>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</si>
  <si>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</si>
  <si>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</si>
  <si>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</si>
  <si>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</si>
  <si>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</si>
  <si>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</si>
  <si>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</si>
  <si>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</si>
  <si>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</si>
  <si>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</si>
  <si>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</si>
  <si>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</si>
  <si>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</si>
  <si>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</si>
  <si>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</si>
  <si>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</si>
  <si>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</si>
  <si>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</si>
  <si>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</si>
  <si>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</si>
  <si>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</si>
  <si>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</si>
  <si>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</si>
  <si>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</si>
  <si>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</si>
  <si>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</si>
  <si>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</si>
  <si>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</si>
  <si>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</si>
  <si>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</si>
  <si>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</si>
  <si>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</si>
  <si>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</si>
  <si>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</si>
  <si>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</si>
  <si>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</si>
  <si>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</si>
  <si>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</si>
  <si>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</si>
  <si>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</si>
  <si>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</si>
  <si>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</si>
  <si>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</si>
  <si>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</si>
  <si>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</si>
  <si>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</si>
  <si>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</si>
  <si>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</si>
  <si>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</si>
  <si>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</si>
  <si>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</si>
  <si>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</si>
  <si>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</si>
  <si>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</si>
  <si>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</si>
  <si>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</si>
  <si>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</si>
  <si>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</si>
  <si>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</si>
  <si>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</si>
  <si>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</si>
  <si>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</si>
  <si>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</si>
  <si>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</si>
  <si>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</si>
  <si>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</si>
  <si>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</si>
  <si>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</si>
  <si>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</si>
  <si>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</si>
  <si>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</si>
  <si>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</si>
  <si>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</si>
  <si>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</si>
  <si>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</si>
  <si>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</si>
  <si>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</si>
  <si>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</si>
  <si>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</si>
  <si>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</si>
  <si>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</si>
  <si>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</si>
  <si>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</si>
  <si>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</si>
  <si>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</si>
  <si>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</si>
  <si>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</si>
  <si>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</si>
  <si>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</si>
  <si>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</si>
  <si>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</si>
  <si>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</si>
  <si>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</si>
  <si>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</si>
  <si>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</si>
  <si>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</si>
  <si>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</si>
  <si>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</si>
  <si>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</si>
  <si>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</si>
  <si>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</si>
  <si>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</si>
  <si>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</si>
  <si>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</si>
  <si>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</si>
  <si>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</si>
  <si>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</si>
  <si>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</si>
  <si>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</si>
  <si>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</si>
  <si>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</si>
  <si>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</si>
  <si>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</si>
  <si>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</si>
  <si>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</si>
  <si>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</si>
  <si>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</si>
  <si>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</si>
  <si>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</si>
  <si>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</si>
  <si>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</si>
  <si>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</si>
  <si>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</si>
  <si>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</si>
  <si>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</si>
  <si>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</si>
  <si>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</si>
  <si>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</si>
  <si>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</si>
  <si>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</si>
  <si>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</si>
  <si>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</si>
  <si>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</si>
  <si>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</si>
  <si>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</si>
  <si>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</si>
  <si>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</si>
  <si>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</si>
  <si>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</si>
  <si>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</si>
  <si>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</si>
  <si>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</si>
  <si>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</si>
  <si>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</si>
  <si>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</si>
  <si>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</si>
  <si>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</si>
  <si>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</si>
  <si>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</si>
  <si>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</si>
  <si>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</si>
  <si>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</si>
  <si>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</si>
  <si>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</si>
  <si>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</si>
  <si>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</si>
  <si>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</si>
  <si>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</si>
  <si>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</si>
  <si>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</si>
  <si>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</si>
  <si>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</si>
  <si>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</si>
  <si>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</si>
  <si>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</si>
  <si>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</si>
  <si>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</si>
  <si>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</si>
  <si>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</si>
  <si>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</si>
  <si>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</si>
  <si>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</si>
  <si>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</si>
  <si>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</si>
  <si>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</si>
  <si>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</si>
  <si>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</si>
  <si>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</si>
  <si>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</si>
  <si>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</si>
  <si>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</si>
  <si>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</si>
  <si>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</si>
  <si>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</si>
  <si>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</si>
  <si>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</si>
  <si>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</si>
  <si>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</si>
  <si>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</si>
  <si>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</si>
  <si>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</si>
  <si>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</si>
  <si>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</si>
  <si>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</si>
  <si>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</si>
  <si>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</si>
  <si>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</si>
  <si>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</si>
  <si>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</si>
  <si>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</si>
  <si>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</si>
  <si>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</si>
  <si>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</si>
  <si>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</si>
  <si>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</si>
  <si>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</si>
  <si>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</si>
  <si>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</si>
  <si>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</si>
  <si>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</si>
  <si>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</si>
  <si>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</si>
  <si>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</si>
  <si>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</si>
  <si>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</si>
  <si>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</si>
  <si>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</si>
  <si>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</si>
  <si>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</si>
  <si>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</si>
  <si>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</si>
  <si>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</si>
  <si>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</si>
  <si>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</si>
  <si>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</si>
  <si>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</si>
  <si>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</si>
  <si>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</si>
  <si>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</si>
  <si>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</si>
  <si>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</si>
  <si>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</si>
  <si>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</si>
  <si>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</si>
  <si>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</si>
  <si>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</si>
  <si>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</si>
  <si>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</si>
  <si>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</si>
  <si>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</si>
  <si>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</si>
  <si>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</si>
  <si>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</si>
  <si>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</si>
  <si>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</si>
  <si>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</si>
  <si>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</si>
  <si>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</si>
  <si>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</si>
  <si>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</si>
  <si>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</si>
  <si>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</si>
  <si>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</si>
  <si>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</si>
  <si>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</si>
  <si>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</si>
  <si>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</si>
  <si>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</si>
  <si>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</si>
  <si>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</si>
  <si>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</si>
  <si>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</si>
  <si>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</si>
  <si>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</si>
  <si>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</si>
  <si>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</si>
  <si>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</si>
  <si>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</si>
  <si>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</si>
  <si>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</si>
  <si>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</si>
  <si>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</si>
  <si>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</si>
  <si>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</si>
  <si>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</si>
  <si>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</si>
  <si>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</si>
  <si>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</si>
  <si>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</si>
  <si>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</si>
  <si>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</si>
  <si>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</si>
  <si>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</si>
  <si>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</si>
  <si>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</si>
  <si>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</si>
  <si>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</si>
  <si>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</si>
  <si>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</si>
  <si>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</si>
  <si>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</si>
  <si>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</si>
  <si>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</si>
  <si>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</si>
  <si>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</si>
  <si>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</si>
  <si>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</si>
  <si>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</si>
  <si>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</si>
  <si>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</si>
  <si>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</si>
  <si>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</si>
  <si>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</si>
  <si>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</si>
  <si>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</si>
  <si>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</si>
  <si>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</si>
  <si>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</si>
  <si>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</si>
  <si>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</si>
  <si>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</si>
  <si>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</si>
  <si>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</si>
  <si>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</si>
  <si>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</si>
  <si>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</si>
  <si>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</si>
  <si>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</si>
  <si>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</si>
  <si>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</si>
  <si>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</si>
  <si>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</si>
  <si>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</si>
  <si>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</si>
  <si>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</si>
  <si>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</si>
  <si>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</si>
  <si>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</si>
  <si>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</si>
  <si>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</si>
  <si>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</si>
  <si>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</si>
  <si>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</si>
  <si>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</si>
  <si>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</si>
  <si>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</si>
  <si>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</si>
  <si>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</si>
  <si>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</si>
  <si>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</si>
  <si>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</si>
  <si>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</si>
  <si>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</si>
  <si>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</si>
  <si>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</si>
  <si>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</si>
  <si>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</si>
  <si>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</si>
  <si>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</si>
  <si>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</si>
  <si>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</si>
  <si>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</si>
  <si>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</si>
  <si>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</si>
  <si>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</si>
  <si>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</si>
  <si>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</si>
  <si>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</si>
  <si>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</si>
  <si>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</si>
  <si>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</si>
  <si>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</si>
  <si>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</si>
  <si>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</si>
  <si>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</si>
  <si>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</si>
  <si>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</si>
  <si>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</si>
  <si>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</si>
  <si>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</si>
  <si>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</si>
  <si>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</si>
  <si>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</si>
  <si>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</si>
  <si>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</si>
  <si>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</si>
  <si>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</si>
  <si>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</si>
  <si>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</si>
  <si>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</si>
  <si>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</si>
  <si>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</si>
  <si>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</si>
  <si>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</si>
  <si>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</si>
  <si>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</si>
  <si>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</si>
  <si>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</si>
  <si>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</si>
  <si>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</si>
  <si>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</si>
  <si>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</si>
  <si>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</si>
  <si>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</si>
  <si>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</si>
  <si>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</si>
  <si>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</si>
  <si>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</si>
  <si>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</si>
  <si>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</si>
  <si>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</si>
  <si>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</si>
  <si>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</si>
  <si>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</si>
  <si>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</si>
  <si>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</si>
  <si>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</si>
  <si>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</si>
  <si>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</si>
  <si>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</si>
  <si>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</si>
  <si>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</si>
  <si>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</si>
  <si>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</si>
  <si>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</si>
  <si>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</si>
  <si>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</si>
  <si>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</si>
  <si>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</si>
  <si>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</si>
  <si>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</si>
  <si>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</si>
  <si>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</si>
  <si>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</si>
  <si>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</si>
  <si>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</si>
  <si>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</si>
  <si>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</si>
  <si>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</si>
  <si>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</si>
  <si>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</si>
  <si>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</si>
  <si>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</si>
  <si>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</si>
  <si>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</si>
  <si>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</si>
  <si>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</si>
  <si>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</si>
  <si>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</si>
  <si>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</si>
  <si>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</si>
  <si>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</si>
  <si>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</si>
  <si>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</si>
  <si>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</si>
  <si>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</si>
  <si>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</si>
  <si>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</si>
  <si>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</si>
  <si>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</si>
  <si>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</si>
  <si>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</si>
  <si>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</si>
  <si>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</si>
  <si>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</si>
  <si>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</si>
  <si>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</si>
  <si>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</si>
  <si>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</si>
  <si>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</si>
  <si>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</si>
  <si>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</si>
  <si>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</si>
  <si>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</si>
  <si>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</si>
  <si>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</si>
  <si>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</si>
  <si>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</si>
  <si>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</si>
  <si>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</si>
  <si>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</si>
  <si>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</si>
  <si>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</si>
  <si>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</si>
  <si>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</si>
  <si>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</si>
  <si>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</si>
  <si>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</si>
  <si>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</si>
  <si>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</si>
  <si>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</si>
  <si>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</si>
  <si>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</si>
  <si>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</si>
  <si>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</si>
  <si>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</si>
  <si>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</si>
  <si>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</si>
  <si>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B001</t>
  </si>
  <si>
    <t>SOLANA COMERCIAL S.A.C.</t>
  </si>
  <si>
    <t>Av. Santo Toribio Nro. 0143 Int. 301</t>
  </si>
  <si>
    <t>Dollarcity</t>
  </si>
  <si>
    <t>FRANCO CABANILLAS</t>
  </si>
  <si>
    <t>LIMA</t>
  </si>
  <si>
    <t>=MACRO!$C$15</t>
  </si>
  <si>
    <t>=MACRO!I15</t>
  </si>
  <si>
    <t>=MACRO!A15</t>
  </si>
  <si>
    <t>=MACRO!$B$15</t>
  </si>
  <si>
    <t>=MACRO!$D$15</t>
  </si>
  <si>
    <t>=MACRO!$F$15</t>
  </si>
  <si>
    <t>=MACRO!$G$15</t>
  </si>
  <si>
    <t>=REDONDEAR(MACRO!$J$15;2)</t>
  </si>
  <si>
    <t>=SI($E$41=10;1000;9996)</t>
  </si>
  <si>
    <t>=MACRO!$H$15</t>
  </si>
  <si>
    <t>=REDONDEAR(MACRO!$I$15;2)</t>
  </si>
  <si>
    <t>=MACRO!E15</t>
  </si>
  <si>
    <t>RUTA</t>
  </si>
  <si>
    <t>RUTA TXT</t>
  </si>
  <si>
    <t>RUTA DIGIFLOW</t>
  </si>
  <si>
    <t>C:\TXT_GENERADOS</t>
  </si>
  <si>
    <t>C:\Esuite_suc\IN</t>
  </si>
  <si>
    <t>3</t>
  </si>
  <si>
    <t>5</t>
  </si>
  <si>
    <t>OBS AAA</t>
  </si>
  <si>
    <t>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</si>
</sst>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0" fontId="16" fillId="11" borderId="3" xfId="0" applyFont="1" applyFill="1" applyBorder="1" applyAlignment="1">
      <alignment horizontal="center"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3" fillId="0" borderId="3" xfId="0" applyFont="1" applyBorder="1" applyAlignment="1">
      <alignment horizontal="center"/>
    </xf>
    <xf numFmtId="0" fontId="25" fillId="0" borderId="3" xfId="5" applyFont="1" applyBorder="1" applyAlignment="1" applyProtection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18" fillId="0" borderId="0" xfId="0" applyFont="1" applyAlignment="1">
      <alignment horizontal="center"/>
    </xf>
    <xf numFmtId="0" fontId="24" fillId="0" borderId="3" xfId="5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zoomScale="85" zoomScaleNormal="85" workbookViewId="0">
      <pane ySplit="14" topLeftCell="A15" activePane="bottomLeft" state="frozen"/>
      <selection pane="bottomLeft" activeCell="D26" sqref="D26"/>
    </sheetView>
  </sheetViews>
  <sheetFormatPr baseColWidth="10" defaultColWidth="11.42578125" defaultRowHeight="15" x14ac:dyDescent="0.25"/>
  <cols>
    <col min="1" max="2" width="27" customWidth="1"/>
    <col min="3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3.5703125" bestFit="1" customWidth="1"/>
    <col min="9" max="9" width="5.85546875" bestFit="1" customWidth="1"/>
    <col min="10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16.140625" bestFit="1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217</v>
      </c>
      <c r="F2" s="208">
        <v>700</v>
      </c>
    </row>
    <row r="3" spans="1:17" x14ac:dyDescent="0.25">
      <c r="A3" s="58" t="s">
        <v>106</v>
      </c>
      <c r="B3" s="74">
        <v>44788</v>
      </c>
      <c r="C3" s="207" t="s">
        <v>53</v>
      </c>
      <c r="D3" s="42" t="s">
        <v>260</v>
      </c>
      <c r="E3" s="56" t="s">
        <v>1</v>
      </c>
      <c r="F3" s="42">
        <v>126</v>
      </c>
      <c r="L3" s="77" t="s">
        <v>95</v>
      </c>
      <c r="M3" s="77" t="s">
        <v>0</v>
      </c>
      <c r="N3" s="77" t="s">
        <v>100</v>
      </c>
      <c r="P3" s="77" t="s">
        <v>1543</v>
      </c>
      <c r="Q3" s="77" t="s">
        <v>0</v>
      </c>
    </row>
    <row r="4" spans="1:17" x14ac:dyDescent="0.25">
      <c r="E4" s="56" t="s">
        <v>61</v>
      </c>
      <c r="F4" s="42">
        <v>826</v>
      </c>
      <c r="L4" s="58">
        <v>1</v>
      </c>
      <c r="M4" s="39" t="s">
        <v>257</v>
      </c>
      <c r="N4" s="39">
        <v>34</v>
      </c>
      <c r="P4" s="58" t="s">
        <v>1544</v>
      </c>
      <c r="Q4" s="39" t="s">
        <v>1546</v>
      </c>
    </row>
    <row r="5" spans="1:17" x14ac:dyDescent="0.25">
      <c r="H5" s="205"/>
      <c r="I5" s="204"/>
      <c r="L5" s="58">
        <v>3</v>
      </c>
      <c r="M5" s="39" t="s">
        <v>1525</v>
      </c>
      <c r="N5" s="39">
        <v>56</v>
      </c>
      <c r="P5" s="58" t="s">
        <v>1545</v>
      </c>
      <c r="Q5" s="39" t="s">
        <v>1547</v>
      </c>
    </row>
    <row r="6" spans="1:17" x14ac:dyDescent="0.25">
      <c r="A6" s="50" t="s">
        <v>102</v>
      </c>
      <c r="B6" s="45">
        <v>75511538</v>
      </c>
      <c r="C6" s="226" t="s">
        <v>258</v>
      </c>
      <c r="D6" s="227"/>
      <c r="E6" s="203" t="s">
        <v>259</v>
      </c>
      <c r="F6" s="203"/>
      <c r="G6" s="203"/>
      <c r="J6" s="17"/>
      <c r="L6" s="58">
        <v>7</v>
      </c>
      <c r="M6" s="39" t="s">
        <v>257</v>
      </c>
      <c r="N6" s="39">
        <v>6</v>
      </c>
    </row>
    <row r="7" spans="1:17" x14ac:dyDescent="0.25">
      <c r="A7" s="40">
        <v>6</v>
      </c>
      <c r="B7" s="40">
        <v>10455608916</v>
      </c>
      <c r="C7" s="228" t="s">
        <v>1529</v>
      </c>
      <c r="D7" s="228"/>
      <c r="E7" s="219" t="s">
        <v>1530</v>
      </c>
      <c r="F7" s="220"/>
      <c r="G7" s="221"/>
      <c r="J7" s="17"/>
      <c r="L7" s="58">
        <v>7</v>
      </c>
      <c r="M7" s="39" t="s">
        <v>1525</v>
      </c>
      <c r="N7" s="39" t="s">
        <v>102</v>
      </c>
    </row>
    <row r="8" spans="1:17" x14ac:dyDescent="0.25">
      <c r="F8" s="9"/>
      <c r="J8" s="17"/>
      <c r="L8" s="58">
        <v>8</v>
      </c>
      <c r="M8" s="39" t="s">
        <v>257</v>
      </c>
      <c r="N8" s="39" t="s">
        <v>102</v>
      </c>
    </row>
    <row r="9" spans="1:17" x14ac:dyDescent="0.25">
      <c r="A9" s="222" t="s">
        <v>193</v>
      </c>
      <c r="B9" s="223"/>
      <c r="C9" s="52" t="s">
        <v>190</v>
      </c>
      <c r="D9" s="52" t="s">
        <v>191</v>
      </c>
      <c r="E9" s="52" t="s">
        <v>192</v>
      </c>
      <c r="F9" s="55" t="s">
        <v>195</v>
      </c>
      <c r="G9" s="207">
        <v>111</v>
      </c>
      <c r="J9" s="17"/>
      <c r="L9" s="58">
        <v>8</v>
      </c>
      <c r="M9" s="39" t="s">
        <v>1525</v>
      </c>
      <c r="N9" s="39" t="s">
        <v>102</v>
      </c>
    </row>
    <row r="10" spans="1:17" x14ac:dyDescent="0.25">
      <c r="A10" s="224" t="s">
        <v>464</v>
      </c>
      <c r="B10" s="225"/>
      <c r="C10" s="51" t="s">
        <v>102</v>
      </c>
      <c r="D10" s="51" t="s">
        <v>257</v>
      </c>
      <c r="E10" s="51" t="s">
        <v>1549</v>
      </c>
      <c r="F10" s="55" t="s">
        <v>196</v>
      </c>
      <c r="G10" s="207">
        <v>222</v>
      </c>
      <c r="J10" s="17"/>
      <c r="N10"/>
      <c r="O10"/>
    </row>
    <row r="11" spans="1:17" x14ac:dyDescent="0.25">
      <c r="A11" s="54"/>
      <c r="B11" s="54"/>
      <c r="C11" s="54"/>
      <c r="D11" s="54"/>
      <c r="E11" s="54"/>
      <c r="F11" s="55" t="s">
        <v>197</v>
      </c>
      <c r="G11" s="207">
        <v>333</v>
      </c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7" t="s">
        <v>1550</v>
      </c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203</v>
      </c>
      <c r="C14" s="69" t="s">
        <v>199</v>
      </c>
      <c r="D14" s="69" t="s">
        <v>108</v>
      </c>
      <c r="E14" s="69" t="s">
        <v>109</v>
      </c>
      <c r="F14" s="69" t="s">
        <v>204</v>
      </c>
      <c r="G14" s="69" t="s">
        <v>205</v>
      </c>
      <c r="H14" s="69" t="s">
        <v>201</v>
      </c>
      <c r="I14" s="69" t="s">
        <v>1</v>
      </c>
      <c r="J14" s="69" t="s">
        <v>206</v>
      </c>
    </row>
    <row r="15" spans="1:17" x14ac:dyDescent="0.25">
      <c r="A15" s="214">
        <v>1</v>
      </c>
      <c r="B15" s="39">
        <v>1</v>
      </c>
      <c r="C15" s="39">
        <v>14</v>
      </c>
      <c r="D15" s="39" t="s">
        <v>202</v>
      </c>
      <c r="E15" s="40"/>
      <c r="F15" s="41">
        <v>826</v>
      </c>
      <c r="G15" s="42">
        <v>700</v>
      </c>
      <c r="H15" s="207">
        <v>10</v>
      </c>
      <c r="I15" s="39">
        <v>126</v>
      </c>
      <c r="J15" s="39">
        <v>700</v>
      </c>
    </row>
    <row r="16" spans="1:17" x14ac:dyDescent="0.25">
      <c r="A16" s="214">
        <v>2</v>
      </c>
      <c r="B16" s="39">
        <v>2</v>
      </c>
      <c r="C16" s="39">
        <v>14</v>
      </c>
      <c r="D16" s="39" t="s">
        <v>202</v>
      </c>
      <c r="E16" s="40"/>
      <c r="F16" s="41">
        <v>826</v>
      </c>
      <c r="G16" s="42">
        <v>700</v>
      </c>
      <c r="H16" s="42">
        <v>10</v>
      </c>
      <c r="I16" s="39">
        <v>126</v>
      </c>
      <c r="J16" s="39">
        <v>700</v>
      </c>
    </row>
    <row r="17" spans="1:10" x14ac:dyDescent="0.25">
      <c r="A17" s="214">
        <v>3</v>
      </c>
      <c r="B17" s="39">
        <v>3</v>
      </c>
      <c r="C17" s="39">
        <v>14</v>
      </c>
      <c r="D17" s="39" t="s">
        <v>202</v>
      </c>
      <c r="E17" s="40"/>
      <c r="F17" s="41">
        <v>826</v>
      </c>
      <c r="G17" s="42">
        <v>700</v>
      </c>
      <c r="H17" s="42">
        <v>10</v>
      </c>
      <c r="I17" s="39">
        <v>126</v>
      </c>
      <c r="J17" s="39">
        <v>700</v>
      </c>
    </row>
    <row r="18" spans="1:10" x14ac:dyDescent="0.25">
      <c r="A18" s="214">
        <v>4</v>
      </c>
      <c r="B18" s="39"/>
      <c r="C18" s="39"/>
      <c r="D18" s="39"/>
      <c r="E18" s="40"/>
      <c r="F18" s="41"/>
      <c r="G18" s="42"/>
      <c r="H18" s="42"/>
      <c r="I18" s="39"/>
      <c r="J18" s="39"/>
    </row>
    <row r="19" spans="1:10" x14ac:dyDescent="0.25">
      <c r="A19" s="214">
        <v>5</v>
      </c>
      <c r="B19" s="39"/>
      <c r="C19" s="39"/>
      <c r="D19" s="39"/>
      <c r="E19" s="40"/>
      <c r="F19" s="41"/>
      <c r="G19" s="42"/>
      <c r="H19" s="42"/>
      <c r="I19" s="39"/>
      <c r="J19" s="39"/>
    </row>
    <row r="20" spans="1:10" x14ac:dyDescent="0.25">
      <c r="A20" s="214">
        <v>6</v>
      </c>
      <c r="B20" s="39"/>
      <c r="C20" s="39"/>
      <c r="D20" s="39"/>
      <c r="E20" s="40"/>
      <c r="F20" s="41"/>
      <c r="G20" s="42"/>
      <c r="H20" s="42"/>
      <c r="I20" s="39"/>
      <c r="J20" s="39"/>
    </row>
    <row r="21" spans="1:10" x14ac:dyDescent="0.25">
      <c r="A21" s="214">
        <v>7</v>
      </c>
      <c r="B21" s="39"/>
      <c r="C21" s="39"/>
      <c r="D21" s="39"/>
      <c r="E21" s="40"/>
      <c r="F21" s="41"/>
      <c r="G21" s="42"/>
      <c r="H21" s="42"/>
      <c r="I21" s="39"/>
      <c r="J21" s="39"/>
    </row>
    <row r="22" spans="1:10" x14ac:dyDescent="0.25">
      <c r="A22" s="214">
        <v>8</v>
      </c>
      <c r="B22" s="39"/>
      <c r="C22" s="39"/>
      <c r="D22" s="39"/>
      <c r="E22" s="40"/>
      <c r="F22" s="41"/>
      <c r="G22" s="42"/>
      <c r="H22" s="42"/>
      <c r="I22" s="39"/>
      <c r="J22" s="39"/>
    </row>
    <row r="23" spans="1:10" x14ac:dyDescent="0.25">
      <c r="A23" s="214">
        <v>9</v>
      </c>
      <c r="B23" s="39"/>
      <c r="C23" s="39"/>
      <c r="D23" s="39"/>
      <c r="E23" s="40"/>
      <c r="F23" s="41"/>
      <c r="G23" s="42"/>
      <c r="H23" s="42"/>
      <c r="I23" s="39"/>
      <c r="J23" s="39"/>
    </row>
    <row r="24" spans="1:10" x14ac:dyDescent="0.25">
      <c r="A24" s="214">
        <v>10</v>
      </c>
      <c r="B24" s="39"/>
      <c r="C24" s="39"/>
      <c r="D24" s="39"/>
      <c r="E24" s="40"/>
      <c r="F24" s="41"/>
      <c r="G24" s="42"/>
      <c r="H24" s="42"/>
      <c r="I24" s="39"/>
      <c r="J24" s="39"/>
    </row>
    <row r="25" spans="1:10" x14ac:dyDescent="0.25">
      <c r="A25" s="214">
        <v>11</v>
      </c>
      <c r="B25" s="39"/>
      <c r="C25" s="39"/>
      <c r="D25" s="39"/>
      <c r="E25" s="40"/>
      <c r="F25" s="41"/>
      <c r="G25" s="42"/>
      <c r="H25" s="42"/>
      <c r="I25" s="39"/>
      <c r="J25" s="39"/>
    </row>
    <row r="26" spans="1:10" x14ac:dyDescent="0.25">
      <c r="A26" s="214">
        <v>12</v>
      </c>
      <c r="B26" s="39"/>
      <c r="C26" s="39"/>
      <c r="D26" s="39"/>
      <c r="E26" s="40"/>
      <c r="F26" s="41"/>
      <c r="G26" s="42"/>
      <c r="H26" s="42"/>
      <c r="I26" s="39"/>
      <c r="J26" s="39"/>
    </row>
    <row r="27" spans="1:10" x14ac:dyDescent="0.25">
      <c r="A27" s="214">
        <v>13</v>
      </c>
      <c r="B27" s="39"/>
      <c r="C27" s="39"/>
      <c r="D27" s="39"/>
      <c r="E27" s="40"/>
      <c r="F27" s="41"/>
      <c r="G27" s="42"/>
      <c r="H27" s="42"/>
      <c r="I27" s="39"/>
      <c r="J27" s="39"/>
    </row>
    <row r="28" spans="1:10" x14ac:dyDescent="0.25">
      <c r="A28" s="214">
        <v>14</v>
      </c>
      <c r="B28" s="39"/>
      <c r="C28" s="39"/>
      <c r="D28" s="39"/>
      <c r="E28" s="40"/>
      <c r="F28" s="41"/>
      <c r="G28" s="42"/>
      <c r="H28" s="42"/>
      <c r="I28" s="39"/>
      <c r="J28" s="39"/>
    </row>
    <row r="29" spans="1:10" x14ac:dyDescent="0.25">
      <c r="A29" s="214">
        <v>15</v>
      </c>
      <c r="B29" s="39"/>
      <c r="C29" s="39"/>
      <c r="D29" s="39"/>
      <c r="E29" s="40"/>
      <c r="F29" s="41"/>
      <c r="G29" s="42"/>
      <c r="H29" s="42"/>
      <c r="I29" s="39"/>
      <c r="J29" s="39"/>
    </row>
    <row r="30" spans="1:10" x14ac:dyDescent="0.25">
      <c r="A30" s="214">
        <v>16</v>
      </c>
      <c r="B30" s="39"/>
      <c r="C30" s="39"/>
      <c r="D30" s="39"/>
      <c r="E30" s="40"/>
      <c r="F30" s="41"/>
      <c r="G30" s="42"/>
      <c r="H30" s="42"/>
      <c r="I30" s="39"/>
      <c r="J30" s="39"/>
    </row>
    <row r="31" spans="1:10" x14ac:dyDescent="0.25">
      <c r="A31" s="214">
        <v>17</v>
      </c>
      <c r="B31" s="39"/>
      <c r="C31" s="39"/>
      <c r="D31" s="39"/>
      <c r="E31" s="40"/>
      <c r="F31" s="41"/>
      <c r="G31" s="42"/>
      <c r="H31" s="42"/>
      <c r="I31" s="39"/>
      <c r="J31" s="39"/>
    </row>
    <row r="32" spans="1:10" x14ac:dyDescent="0.25">
      <c r="A32" s="214">
        <v>18</v>
      </c>
      <c r="B32" s="39"/>
      <c r="C32" s="39"/>
      <c r="D32" s="39"/>
      <c r="E32" s="40"/>
      <c r="F32" s="41"/>
      <c r="G32" s="42"/>
      <c r="H32" s="42"/>
      <c r="I32" s="39"/>
      <c r="J32" s="39"/>
    </row>
    <row r="33" spans="1:10" x14ac:dyDescent="0.25">
      <c r="A33" s="214">
        <v>19</v>
      </c>
      <c r="B33" s="39"/>
      <c r="C33" s="39"/>
      <c r="D33" s="39"/>
      <c r="E33" s="40"/>
      <c r="F33" s="41"/>
      <c r="G33" s="42"/>
      <c r="H33" s="42"/>
      <c r="I33" s="39"/>
      <c r="J33" s="39"/>
    </row>
    <row r="34" spans="1:10" x14ac:dyDescent="0.25">
      <c r="A34" s="214">
        <v>20</v>
      </c>
      <c r="B34" s="39"/>
      <c r="C34" s="39"/>
      <c r="D34" s="39"/>
      <c r="E34" s="40"/>
      <c r="F34" s="41"/>
      <c r="G34" s="42"/>
      <c r="H34" s="42"/>
      <c r="I34" s="39"/>
      <c r="J34" s="39"/>
    </row>
    <row r="35" spans="1:10" x14ac:dyDescent="0.25">
      <c r="A35" s="214">
        <v>21</v>
      </c>
      <c r="B35" s="39"/>
      <c r="C35" s="39"/>
      <c r="D35" s="39"/>
      <c r="E35" s="40"/>
      <c r="F35" s="41"/>
      <c r="G35" s="42"/>
      <c r="H35" s="42"/>
      <c r="I35" s="39"/>
      <c r="J35" s="39"/>
    </row>
    <row r="36" spans="1:10" x14ac:dyDescent="0.25">
      <c r="A36" s="214">
        <v>22</v>
      </c>
      <c r="B36" s="39"/>
      <c r="C36" s="39"/>
      <c r="D36" s="39"/>
      <c r="E36" s="40"/>
      <c r="F36" s="41"/>
      <c r="G36" s="42"/>
      <c r="H36" s="42"/>
      <c r="I36" s="39"/>
      <c r="J36" s="39"/>
    </row>
    <row r="37" spans="1:10" x14ac:dyDescent="0.25">
      <c r="A37" s="214">
        <v>23</v>
      </c>
      <c r="B37" s="39"/>
      <c r="C37" s="39"/>
      <c r="D37" s="39"/>
      <c r="E37" s="40"/>
      <c r="F37" s="41"/>
      <c r="G37" s="42"/>
      <c r="H37" s="42"/>
      <c r="I37" s="39"/>
      <c r="J37" s="39"/>
    </row>
    <row r="38" spans="1:10" x14ac:dyDescent="0.25">
      <c r="A38" s="214">
        <v>24</v>
      </c>
      <c r="B38" s="39"/>
      <c r="C38" s="39"/>
      <c r="D38" s="39"/>
      <c r="E38" s="40"/>
      <c r="F38" s="41"/>
      <c r="G38" s="42"/>
      <c r="H38" s="42"/>
      <c r="I38" s="39"/>
      <c r="J38" s="39"/>
    </row>
    <row r="39" spans="1:10" x14ac:dyDescent="0.25">
      <c r="A39" s="214">
        <v>25</v>
      </c>
      <c r="B39" s="39"/>
      <c r="C39" s="39"/>
      <c r="D39" s="39"/>
      <c r="E39" s="40"/>
      <c r="F39" s="41"/>
      <c r="G39" s="42"/>
      <c r="H39" s="42"/>
      <c r="I39" s="39"/>
      <c r="J39" s="39"/>
    </row>
    <row r="40" spans="1:10" x14ac:dyDescent="0.25">
      <c r="A40" s="214">
        <v>26</v>
      </c>
      <c r="B40" s="39"/>
      <c r="C40" s="39"/>
      <c r="D40" s="39"/>
      <c r="E40" s="40"/>
      <c r="F40" s="41"/>
      <c r="G40" s="42"/>
      <c r="H40" s="42"/>
      <c r="I40" s="39"/>
      <c r="J40" s="39"/>
    </row>
    <row r="41" spans="1:10" x14ac:dyDescent="0.25">
      <c r="A41" s="214">
        <v>27</v>
      </c>
      <c r="B41" s="39"/>
      <c r="C41" s="39"/>
      <c r="D41" s="39"/>
      <c r="E41" s="40"/>
      <c r="F41" s="41"/>
      <c r="G41" s="42"/>
      <c r="H41" s="42"/>
      <c r="I41" s="39"/>
      <c r="J41" s="39"/>
    </row>
    <row r="42" spans="1:10" x14ac:dyDescent="0.25">
      <c r="A42" s="214">
        <v>28</v>
      </c>
      <c r="B42" s="39"/>
      <c r="C42" s="39"/>
      <c r="D42" s="39"/>
      <c r="E42" s="40"/>
      <c r="F42" s="41"/>
      <c r="G42" s="42"/>
      <c r="H42" s="42"/>
      <c r="I42" s="39"/>
      <c r="J42" s="39"/>
    </row>
    <row r="43" spans="1:10" x14ac:dyDescent="0.25">
      <c r="A43" s="214">
        <v>29</v>
      </c>
      <c r="B43" s="39"/>
      <c r="C43" s="39"/>
      <c r="D43" s="39"/>
      <c r="E43" s="40"/>
      <c r="F43" s="41"/>
      <c r="G43" s="42"/>
      <c r="H43" s="42"/>
      <c r="I43" s="39"/>
      <c r="J43" s="39"/>
    </row>
    <row r="44" spans="1:10" x14ac:dyDescent="0.25">
      <c r="A44" s="214">
        <v>30</v>
      </c>
      <c r="B44" s="39"/>
      <c r="C44" s="39"/>
      <c r="D44" s="39"/>
      <c r="E44" s="40"/>
      <c r="F44" s="41"/>
      <c r="G44" s="42"/>
      <c r="H44" s="42"/>
      <c r="I44" s="39"/>
      <c r="J44" s="39"/>
    </row>
    <row r="45" spans="1:10" x14ac:dyDescent="0.25">
      <c r="A45" s="214">
        <v>31</v>
      </c>
      <c r="B45" s="39"/>
      <c r="C45" s="39"/>
      <c r="D45" s="39"/>
      <c r="E45" s="40"/>
      <c r="F45" s="41"/>
      <c r="G45" s="42"/>
      <c r="H45" s="42"/>
      <c r="I45" s="39"/>
      <c r="J45" s="39"/>
    </row>
    <row r="46" spans="1:10" x14ac:dyDescent="0.25">
      <c r="A46" s="214">
        <v>32</v>
      </c>
      <c r="B46" s="39"/>
      <c r="C46" s="39"/>
      <c r="D46" s="39"/>
      <c r="E46" s="40"/>
      <c r="F46" s="41"/>
      <c r="G46" s="42"/>
      <c r="H46" s="42"/>
      <c r="I46" s="39"/>
      <c r="J46" s="39"/>
    </row>
    <row r="47" spans="1:10" x14ac:dyDescent="0.25">
      <c r="A47" s="214">
        <v>33</v>
      </c>
      <c r="B47" s="39"/>
      <c r="C47" s="39"/>
      <c r="D47" s="39"/>
      <c r="E47" s="40"/>
      <c r="F47" s="41"/>
      <c r="G47" s="42"/>
      <c r="H47" s="42"/>
      <c r="I47" s="39"/>
      <c r="J47" s="39"/>
    </row>
    <row r="48" spans="1:10" x14ac:dyDescent="0.25">
      <c r="A48" s="214">
        <v>34</v>
      </c>
      <c r="B48" s="39"/>
      <c r="C48" s="39"/>
      <c r="D48" s="39"/>
      <c r="E48" s="40"/>
      <c r="F48" s="41"/>
      <c r="G48" s="42"/>
      <c r="H48" s="42"/>
      <c r="I48" s="39"/>
      <c r="J48" s="39"/>
    </row>
    <row r="49" spans="1:10" x14ac:dyDescent="0.25">
      <c r="A49" s="214">
        <v>35</v>
      </c>
      <c r="B49" s="39"/>
      <c r="C49" s="39"/>
      <c r="D49" s="39"/>
      <c r="E49" s="40"/>
      <c r="F49" s="41"/>
      <c r="G49" s="42"/>
      <c r="H49" s="42"/>
      <c r="I49" s="39"/>
      <c r="J49" s="39"/>
    </row>
    <row r="50" spans="1:10" x14ac:dyDescent="0.25">
      <c r="A50" s="214">
        <v>36</v>
      </c>
      <c r="B50" s="39"/>
      <c r="C50" s="39"/>
      <c r="D50" s="39"/>
      <c r="E50" s="40"/>
      <c r="F50" s="41"/>
      <c r="G50" s="42"/>
      <c r="H50" s="42"/>
      <c r="I50" s="39"/>
      <c r="J50" s="39"/>
    </row>
    <row r="51" spans="1:10" x14ac:dyDescent="0.25">
      <c r="A51" s="214">
        <v>37</v>
      </c>
      <c r="B51" s="39"/>
      <c r="C51" s="39"/>
      <c r="D51" s="39"/>
      <c r="E51" s="40"/>
      <c r="F51" s="41"/>
      <c r="G51" s="42"/>
      <c r="H51" s="42"/>
      <c r="I51" s="39"/>
      <c r="J51" s="39"/>
    </row>
    <row r="52" spans="1:10" x14ac:dyDescent="0.25">
      <c r="A52" s="214">
        <v>38</v>
      </c>
      <c r="B52" s="39"/>
      <c r="C52" s="39"/>
      <c r="D52" s="39"/>
      <c r="E52" s="40"/>
      <c r="F52" s="41"/>
      <c r="G52" s="42"/>
      <c r="H52" s="42"/>
      <c r="I52" s="39"/>
      <c r="J52" s="39"/>
    </row>
    <row r="53" spans="1:10" x14ac:dyDescent="0.25">
      <c r="A53" s="214">
        <v>39</v>
      </c>
      <c r="B53" s="39"/>
      <c r="C53" s="39"/>
      <c r="D53" s="39"/>
      <c r="E53" s="40"/>
      <c r="F53" s="41"/>
      <c r="G53" s="42"/>
      <c r="H53" s="42"/>
      <c r="I53" s="39"/>
      <c r="J53" s="39"/>
    </row>
    <row r="54" spans="1:10" x14ac:dyDescent="0.25">
      <c r="A54" s="214">
        <v>40</v>
      </c>
      <c r="B54" s="39"/>
      <c r="C54" s="39"/>
      <c r="D54" s="39"/>
      <c r="E54" s="40"/>
      <c r="F54" s="41"/>
      <c r="G54" s="42"/>
      <c r="H54" s="42"/>
      <c r="I54" s="39"/>
      <c r="J54" s="39"/>
    </row>
    <row r="55" spans="1:10" x14ac:dyDescent="0.25">
      <c r="A55" s="214">
        <v>41</v>
      </c>
      <c r="B55" s="39"/>
      <c r="C55" s="39"/>
      <c r="D55" s="39"/>
      <c r="E55" s="40"/>
      <c r="F55" s="41"/>
      <c r="G55" s="42"/>
      <c r="H55" s="42"/>
      <c r="I55" s="39"/>
      <c r="J55" s="39"/>
    </row>
    <row r="56" spans="1:10" x14ac:dyDescent="0.25">
      <c r="A56" s="214">
        <v>42</v>
      </c>
      <c r="B56" s="39"/>
      <c r="C56" s="39"/>
      <c r="D56" s="39"/>
      <c r="E56" s="40"/>
      <c r="F56" s="41"/>
      <c r="G56" s="42"/>
      <c r="H56" s="42"/>
      <c r="I56" s="39"/>
      <c r="J56" s="39"/>
    </row>
    <row r="57" spans="1:10" x14ac:dyDescent="0.25">
      <c r="A57" s="214">
        <v>43</v>
      </c>
      <c r="B57" s="39"/>
      <c r="C57" s="39"/>
      <c r="D57" s="39"/>
      <c r="E57" s="40"/>
      <c r="F57" s="41"/>
      <c r="G57" s="42"/>
      <c r="H57" s="42"/>
      <c r="I57" s="39"/>
      <c r="J57" s="39"/>
    </row>
    <row r="58" spans="1:10" x14ac:dyDescent="0.25">
      <c r="A58" s="214">
        <v>44</v>
      </c>
      <c r="B58" s="39"/>
      <c r="C58" s="39"/>
      <c r="D58" s="39"/>
      <c r="E58" s="40"/>
      <c r="F58" s="41"/>
      <c r="G58" s="42"/>
      <c r="H58" s="42"/>
      <c r="I58" s="39"/>
      <c r="J58" s="39"/>
    </row>
    <row r="59" spans="1:10" x14ac:dyDescent="0.25">
      <c r="A59" s="214">
        <v>45</v>
      </c>
      <c r="B59" s="39"/>
      <c r="C59" s="39"/>
      <c r="D59" s="39"/>
      <c r="E59" s="40"/>
      <c r="F59" s="41"/>
      <c r="G59" s="42"/>
      <c r="H59" s="42"/>
      <c r="I59" s="39"/>
      <c r="J59" s="39"/>
    </row>
    <row r="60" spans="1:10" x14ac:dyDescent="0.25">
      <c r="A60" s="214">
        <v>46</v>
      </c>
      <c r="B60" s="39"/>
      <c r="C60" s="39"/>
      <c r="D60" s="39"/>
      <c r="E60" s="40"/>
      <c r="F60" s="41"/>
      <c r="G60" s="42"/>
      <c r="H60" s="42"/>
      <c r="I60" s="39"/>
      <c r="J60" s="39"/>
    </row>
    <row r="61" spans="1:10" x14ac:dyDescent="0.25">
      <c r="A61" s="214">
        <v>47</v>
      </c>
      <c r="B61" s="39"/>
      <c r="C61" s="39"/>
      <c r="D61" s="39"/>
      <c r="E61" s="40"/>
      <c r="F61" s="41"/>
      <c r="G61" s="42"/>
      <c r="H61" s="42"/>
      <c r="I61" s="39"/>
      <c r="J61" s="39"/>
    </row>
    <row r="62" spans="1:10" x14ac:dyDescent="0.25">
      <c r="A62" s="214">
        <v>48</v>
      </c>
      <c r="B62" s="39"/>
      <c r="C62" s="39"/>
      <c r="D62" s="39"/>
      <c r="E62" s="40"/>
      <c r="F62" s="41"/>
      <c r="G62" s="42"/>
      <c r="H62" s="42"/>
      <c r="I62" s="39"/>
      <c r="J62" s="39"/>
    </row>
    <row r="63" spans="1:10" x14ac:dyDescent="0.25">
      <c r="A63" s="214">
        <v>49</v>
      </c>
      <c r="B63" s="39"/>
      <c r="C63" s="39"/>
      <c r="D63" s="39"/>
      <c r="E63" s="40"/>
      <c r="F63" s="41"/>
      <c r="G63" s="42"/>
      <c r="H63" s="42"/>
      <c r="I63" s="39"/>
      <c r="J63" s="39"/>
    </row>
    <row r="64" spans="1:10" x14ac:dyDescent="0.25">
      <c r="A64" s="214">
        <v>50</v>
      </c>
      <c r="B64" s="39"/>
      <c r="C64" s="39"/>
      <c r="D64" s="39"/>
      <c r="E64" s="40"/>
      <c r="F64" s="41"/>
      <c r="G64" s="42"/>
      <c r="H64" s="42"/>
      <c r="I64" s="39"/>
      <c r="J64" s="39"/>
    </row>
    <row r="65" spans="1:10" x14ac:dyDescent="0.25">
      <c r="A65" s="214">
        <v>51</v>
      </c>
      <c r="B65" s="39"/>
      <c r="C65" s="39"/>
      <c r="D65" s="39"/>
      <c r="E65" s="40"/>
      <c r="F65" s="41"/>
      <c r="G65" s="42"/>
      <c r="H65" s="42"/>
      <c r="I65" s="39"/>
      <c r="J65" s="39"/>
    </row>
    <row r="66" spans="1:10" x14ac:dyDescent="0.25">
      <c r="A66" s="214">
        <v>52</v>
      </c>
      <c r="B66" s="39"/>
      <c r="C66" s="39"/>
      <c r="D66" s="39"/>
      <c r="E66" s="40"/>
      <c r="F66" s="41"/>
      <c r="G66" s="42"/>
      <c r="H66" s="42"/>
      <c r="I66" s="39"/>
      <c r="J66" s="39"/>
    </row>
    <row r="67" spans="1:10" x14ac:dyDescent="0.25">
      <c r="A67" s="214">
        <v>53</v>
      </c>
      <c r="B67" s="39"/>
      <c r="C67" s="39"/>
      <c r="D67" s="39"/>
      <c r="E67" s="40"/>
      <c r="F67" s="41"/>
      <c r="G67" s="42"/>
      <c r="H67" s="42"/>
      <c r="I67" s="39"/>
      <c r="J67" s="39"/>
    </row>
    <row r="68" spans="1:10" x14ac:dyDescent="0.25">
      <c r="A68" s="214">
        <v>54</v>
      </c>
      <c r="B68" s="39"/>
      <c r="C68" s="39"/>
      <c r="D68" s="39"/>
      <c r="E68" s="40"/>
      <c r="F68" s="41"/>
      <c r="G68" s="42"/>
      <c r="H68" s="42"/>
      <c r="I68" s="39"/>
      <c r="J68" s="39"/>
    </row>
    <row r="69" spans="1:10" x14ac:dyDescent="0.25">
      <c r="A69" s="214">
        <v>55</v>
      </c>
      <c r="B69" s="39"/>
      <c r="C69" s="39"/>
      <c r="D69" s="39"/>
      <c r="E69" s="40"/>
      <c r="F69" s="41"/>
      <c r="G69" s="42"/>
      <c r="H69" s="42"/>
      <c r="I69" s="39"/>
      <c r="J69" s="39"/>
    </row>
    <row r="70" spans="1:10" x14ac:dyDescent="0.25">
      <c r="A70" s="214">
        <v>56</v>
      </c>
      <c r="B70" s="39"/>
      <c r="C70" s="39"/>
      <c r="D70" s="39"/>
      <c r="E70" s="40"/>
      <c r="F70" s="41"/>
      <c r="G70" s="42"/>
      <c r="H70" s="42"/>
      <c r="I70" s="39"/>
      <c r="J70" s="39"/>
    </row>
    <row r="71" spans="1:10" x14ac:dyDescent="0.25">
      <c r="A71" s="214">
        <v>57</v>
      </c>
      <c r="B71" s="39"/>
      <c r="C71" s="39"/>
      <c r="D71" s="39"/>
      <c r="E71" s="40"/>
      <c r="F71" s="41"/>
      <c r="G71" s="42"/>
      <c r="H71" s="42"/>
      <c r="I71" s="39"/>
      <c r="J71" s="39"/>
    </row>
    <row r="72" spans="1:10" x14ac:dyDescent="0.25">
      <c r="A72" s="214">
        <v>58</v>
      </c>
      <c r="B72" s="39"/>
      <c r="C72" s="39"/>
      <c r="D72" s="39"/>
      <c r="E72" s="40"/>
      <c r="F72" s="41"/>
      <c r="G72" s="42"/>
      <c r="H72" s="42"/>
      <c r="I72" s="39"/>
      <c r="J72" s="39"/>
    </row>
    <row r="73" spans="1:10" x14ac:dyDescent="0.25">
      <c r="A73" s="214">
        <v>59</v>
      </c>
      <c r="B73" s="39"/>
      <c r="C73" s="39"/>
      <c r="D73" s="39"/>
      <c r="E73" s="40"/>
      <c r="F73" s="41"/>
      <c r="G73" s="42"/>
      <c r="H73" s="42"/>
      <c r="I73" s="39"/>
      <c r="J73" s="39"/>
    </row>
    <row r="74" spans="1:10" x14ac:dyDescent="0.25">
      <c r="A74" s="214">
        <v>60</v>
      </c>
      <c r="B74" s="39"/>
      <c r="C74" s="39"/>
      <c r="D74" s="39"/>
      <c r="E74" s="40"/>
      <c r="F74" s="41"/>
      <c r="G74" s="42"/>
      <c r="H74" s="42"/>
      <c r="I74" s="39"/>
      <c r="J74" s="39"/>
    </row>
    <row r="75" spans="1:10" x14ac:dyDescent="0.25">
      <c r="A75" s="214">
        <v>61</v>
      </c>
      <c r="B75" s="39"/>
      <c r="C75" s="39"/>
      <c r="D75" s="39"/>
      <c r="E75" s="40"/>
      <c r="F75" s="41"/>
      <c r="G75" s="42"/>
      <c r="H75" s="42"/>
      <c r="I75" s="39"/>
      <c r="J75" s="39"/>
    </row>
    <row r="76" spans="1:10" x14ac:dyDescent="0.25">
      <c r="A76" s="214">
        <v>62</v>
      </c>
      <c r="B76" s="39"/>
      <c r="C76" s="39"/>
      <c r="D76" s="39"/>
      <c r="E76" s="40"/>
      <c r="F76" s="41"/>
      <c r="G76" s="42"/>
      <c r="H76" s="42"/>
      <c r="I76" s="39"/>
      <c r="J76" s="39"/>
    </row>
    <row r="77" spans="1:10" x14ac:dyDescent="0.25">
      <c r="A77" s="214">
        <v>63</v>
      </c>
      <c r="B77" s="39"/>
      <c r="C77" s="39"/>
      <c r="D77" s="39"/>
      <c r="E77" s="40"/>
      <c r="F77" s="41"/>
      <c r="G77" s="42"/>
      <c r="H77" s="42"/>
      <c r="I77" s="39"/>
      <c r="J77" s="39"/>
    </row>
    <row r="78" spans="1:10" x14ac:dyDescent="0.25">
      <c r="A78" s="214">
        <v>64</v>
      </c>
      <c r="B78" s="39"/>
      <c r="C78" s="39"/>
      <c r="D78" s="39"/>
      <c r="E78" s="40"/>
      <c r="F78" s="41"/>
      <c r="G78" s="42"/>
      <c r="H78" s="42"/>
      <c r="I78" s="39"/>
      <c r="J78" s="39"/>
    </row>
    <row r="79" spans="1:10" x14ac:dyDescent="0.25">
      <c r="A79" s="214">
        <v>65</v>
      </c>
      <c r="B79" s="39"/>
      <c r="C79" s="39"/>
      <c r="D79" s="39"/>
      <c r="E79" s="40"/>
      <c r="F79" s="41"/>
      <c r="G79" s="42"/>
      <c r="H79" s="42"/>
      <c r="I79" s="39"/>
      <c r="J79" s="39"/>
    </row>
    <row r="80" spans="1:10" x14ac:dyDescent="0.25">
      <c r="A80" s="214">
        <v>66</v>
      </c>
      <c r="B80" s="39"/>
      <c r="C80" s="39"/>
      <c r="D80" s="39"/>
      <c r="E80" s="40"/>
      <c r="F80" s="41"/>
      <c r="G80" s="42"/>
      <c r="H80" s="42"/>
      <c r="I80" s="39"/>
      <c r="J80" s="39"/>
    </row>
    <row r="81" spans="1:10" x14ac:dyDescent="0.25">
      <c r="A81" s="214">
        <v>67</v>
      </c>
      <c r="B81" s="39"/>
      <c r="C81" s="39"/>
      <c r="D81" s="39"/>
      <c r="E81" s="40"/>
      <c r="F81" s="41"/>
      <c r="G81" s="42"/>
      <c r="H81" s="42"/>
      <c r="I81" s="39"/>
      <c r="J81" s="39"/>
    </row>
    <row r="82" spans="1:10" x14ac:dyDescent="0.25">
      <c r="A82" s="214">
        <v>68</v>
      </c>
      <c r="B82" s="39"/>
      <c r="C82" s="39"/>
      <c r="D82" s="39"/>
      <c r="E82" s="40"/>
      <c r="F82" s="41"/>
      <c r="G82" s="42"/>
      <c r="H82" s="42"/>
      <c r="I82" s="39"/>
      <c r="J82" s="39"/>
    </row>
    <row r="83" spans="1:10" x14ac:dyDescent="0.25">
      <c r="A83" s="214">
        <v>69</v>
      </c>
      <c r="B83" s="39"/>
      <c r="C83" s="39"/>
      <c r="D83" s="39"/>
      <c r="E83" s="40"/>
      <c r="F83" s="41"/>
      <c r="G83" s="42"/>
      <c r="H83" s="42"/>
      <c r="I83" s="39"/>
      <c r="J83" s="39"/>
    </row>
    <row r="84" spans="1:10" x14ac:dyDescent="0.25">
      <c r="A84" s="214">
        <v>70</v>
      </c>
      <c r="B84" s="39"/>
      <c r="C84" s="39"/>
      <c r="D84" s="39"/>
      <c r="E84" s="40"/>
      <c r="F84" s="41"/>
      <c r="G84" s="42"/>
      <c r="H84" s="42"/>
      <c r="I84" s="39"/>
      <c r="J84" s="39"/>
    </row>
    <row r="85" spans="1:10" x14ac:dyDescent="0.25">
      <c r="A85" s="214">
        <v>71</v>
      </c>
      <c r="B85" s="39"/>
      <c r="C85" s="39"/>
      <c r="D85" s="39"/>
      <c r="E85" s="40"/>
      <c r="F85" s="41"/>
      <c r="G85" s="42"/>
      <c r="H85" s="42"/>
      <c r="I85" s="39"/>
      <c r="J85" s="39"/>
    </row>
    <row r="86" spans="1:10" x14ac:dyDescent="0.25">
      <c r="A86" s="214">
        <v>72</v>
      </c>
      <c r="B86" s="39"/>
      <c r="C86" s="39"/>
      <c r="D86" s="39"/>
      <c r="E86" s="40"/>
      <c r="F86" s="41"/>
      <c r="G86" s="42"/>
      <c r="H86" s="42"/>
      <c r="I86" s="39"/>
      <c r="J86" s="39"/>
    </row>
    <row r="87" spans="1:10" x14ac:dyDescent="0.25">
      <c r="A87" s="214">
        <v>73</v>
      </c>
      <c r="B87" s="39"/>
      <c r="C87" s="39"/>
      <c r="D87" s="39"/>
      <c r="E87" s="40"/>
      <c r="F87" s="41"/>
      <c r="G87" s="42"/>
      <c r="H87" s="42"/>
      <c r="I87" s="39"/>
      <c r="J87" s="39"/>
    </row>
    <row r="88" spans="1:10" x14ac:dyDescent="0.25">
      <c r="A88" s="214">
        <v>74</v>
      </c>
      <c r="B88" s="39"/>
      <c r="C88" s="39"/>
      <c r="D88" s="39"/>
      <c r="E88" s="40"/>
      <c r="F88" s="41"/>
      <c r="G88" s="42"/>
      <c r="H88" s="42"/>
      <c r="I88" s="39"/>
      <c r="J88" s="39"/>
    </row>
    <row r="89" spans="1:10" x14ac:dyDescent="0.25">
      <c r="A89" s="214">
        <v>75</v>
      </c>
      <c r="B89" s="39"/>
      <c r="C89" s="39"/>
      <c r="D89" s="39"/>
      <c r="E89" s="40"/>
      <c r="F89" s="41"/>
      <c r="G89" s="42"/>
      <c r="H89" s="42"/>
      <c r="I89" s="39"/>
      <c r="J89" s="39"/>
    </row>
    <row r="90" spans="1:10" x14ac:dyDescent="0.25">
      <c r="A90" s="214">
        <v>76</v>
      </c>
      <c r="B90" s="39"/>
      <c r="C90" s="39"/>
      <c r="D90" s="39"/>
      <c r="E90" s="40"/>
      <c r="F90" s="41"/>
      <c r="G90" s="42"/>
      <c r="H90" s="42"/>
      <c r="I90" s="39"/>
      <c r="J90" s="39"/>
    </row>
    <row r="91" spans="1:10" x14ac:dyDescent="0.25">
      <c r="A91" s="214">
        <v>77</v>
      </c>
      <c r="B91" s="39"/>
      <c r="C91" s="39"/>
      <c r="D91" s="39"/>
      <c r="E91" s="40"/>
      <c r="F91" s="41"/>
      <c r="G91" s="42"/>
      <c r="H91" s="42"/>
      <c r="I91" s="39"/>
      <c r="J91" s="39"/>
    </row>
    <row r="92" spans="1:10" x14ac:dyDescent="0.25">
      <c r="A92" s="214">
        <v>78</v>
      </c>
      <c r="B92" s="39"/>
      <c r="C92" s="39"/>
      <c r="D92" s="39"/>
      <c r="E92" s="40"/>
      <c r="F92" s="41"/>
      <c r="G92" s="42"/>
      <c r="H92" s="42"/>
      <c r="I92" s="39"/>
      <c r="J92" s="39"/>
    </row>
    <row r="93" spans="1:10" x14ac:dyDescent="0.25">
      <c r="A93" s="214">
        <v>79</v>
      </c>
      <c r="B93" s="39"/>
      <c r="C93" s="39"/>
      <c r="D93" s="39"/>
      <c r="E93" s="40"/>
      <c r="F93" s="41"/>
      <c r="G93" s="42"/>
      <c r="H93" s="42"/>
      <c r="I93" s="39"/>
      <c r="J93" s="39"/>
    </row>
    <row r="94" spans="1:10" x14ac:dyDescent="0.25">
      <c r="A94" s="214">
        <v>80</v>
      </c>
      <c r="B94" s="39"/>
      <c r="C94" s="39"/>
      <c r="D94" s="39"/>
      <c r="E94" s="40"/>
      <c r="F94" s="41"/>
      <c r="G94" s="42"/>
      <c r="H94" s="42"/>
      <c r="I94" s="39"/>
      <c r="J94" s="39"/>
    </row>
    <row r="95" spans="1:10" x14ac:dyDescent="0.25">
      <c r="A95" s="214">
        <v>81</v>
      </c>
      <c r="B95" s="39"/>
      <c r="C95" s="39"/>
      <c r="D95" s="39"/>
      <c r="E95" s="40"/>
      <c r="F95" s="41"/>
      <c r="G95" s="42"/>
      <c r="H95" s="42"/>
      <c r="I95" s="39"/>
      <c r="J95" s="39"/>
    </row>
    <row r="96" spans="1:10" x14ac:dyDescent="0.25">
      <c r="A96" s="214">
        <v>82</v>
      </c>
      <c r="B96" s="39"/>
      <c r="C96" s="39"/>
      <c r="D96" s="39"/>
      <c r="E96" s="40"/>
      <c r="F96" s="41"/>
      <c r="G96" s="42"/>
      <c r="H96" s="42"/>
      <c r="I96" s="39"/>
      <c r="J96" s="39"/>
    </row>
    <row r="97" spans="1:10" x14ac:dyDescent="0.25">
      <c r="A97" s="214">
        <v>83</v>
      </c>
      <c r="B97" s="39"/>
      <c r="C97" s="39"/>
      <c r="D97" s="39"/>
      <c r="E97" s="40"/>
      <c r="F97" s="41"/>
      <c r="G97" s="42"/>
      <c r="H97" s="42"/>
      <c r="I97" s="39"/>
      <c r="J97" s="39"/>
    </row>
    <row r="98" spans="1:10" x14ac:dyDescent="0.25">
      <c r="A98" s="214">
        <v>84</v>
      </c>
      <c r="B98" s="39"/>
      <c r="C98" s="39"/>
      <c r="D98" s="39"/>
      <c r="E98" s="40"/>
      <c r="F98" s="41"/>
      <c r="G98" s="42"/>
      <c r="H98" s="42"/>
      <c r="I98" s="39"/>
      <c r="J98" s="39"/>
    </row>
    <row r="99" spans="1:10" x14ac:dyDescent="0.25">
      <c r="A99" s="214">
        <v>85</v>
      </c>
      <c r="B99" s="39"/>
      <c r="C99" s="39"/>
      <c r="D99" s="39"/>
      <c r="E99" s="40"/>
      <c r="F99" s="41"/>
      <c r="G99" s="42"/>
      <c r="H99" s="42"/>
      <c r="I99" s="39"/>
      <c r="J99" s="39"/>
    </row>
    <row r="100" spans="1:10" x14ac:dyDescent="0.25">
      <c r="A100" s="214">
        <v>86</v>
      </c>
      <c r="B100" s="39"/>
      <c r="C100" s="39"/>
      <c r="D100" s="39"/>
      <c r="E100" s="40"/>
      <c r="F100" s="41"/>
      <c r="G100" s="42"/>
      <c r="H100" s="42"/>
      <c r="I100" s="39"/>
      <c r="J100" s="39"/>
    </row>
    <row r="101" spans="1:10" x14ac:dyDescent="0.25">
      <c r="A101" s="214">
        <v>87</v>
      </c>
      <c r="B101" s="39"/>
      <c r="C101" s="39"/>
      <c r="D101" s="39"/>
      <c r="E101" s="40"/>
      <c r="F101" s="41"/>
      <c r="G101" s="42"/>
      <c r="H101" s="42"/>
      <c r="I101" s="39"/>
      <c r="J101" s="39"/>
    </row>
    <row r="102" spans="1:10" x14ac:dyDescent="0.25">
      <c r="A102" s="214">
        <v>88</v>
      </c>
      <c r="B102" s="39"/>
      <c r="C102" s="39"/>
      <c r="D102" s="39"/>
      <c r="E102" s="40"/>
      <c r="F102" s="41"/>
      <c r="G102" s="42"/>
      <c r="H102" s="42"/>
      <c r="I102" s="39"/>
      <c r="J102" s="39"/>
    </row>
    <row r="103" spans="1:10" x14ac:dyDescent="0.25">
      <c r="A103" s="214">
        <v>89</v>
      </c>
      <c r="B103" s="39"/>
      <c r="C103" s="39"/>
      <c r="D103" s="39"/>
      <c r="E103" s="40"/>
      <c r="F103" s="41"/>
      <c r="G103" s="42"/>
      <c r="H103" s="42"/>
      <c r="I103" s="39"/>
      <c r="J103" s="39"/>
    </row>
    <row r="104" spans="1:10" x14ac:dyDescent="0.25">
      <c r="A104" s="214">
        <v>90</v>
      </c>
      <c r="B104" s="39"/>
      <c r="C104" s="39"/>
      <c r="D104" s="39"/>
      <c r="E104" s="40"/>
      <c r="F104" s="41"/>
      <c r="G104" s="42"/>
      <c r="H104" s="42"/>
      <c r="I104" s="39"/>
      <c r="J104" s="39"/>
    </row>
    <row r="105" spans="1:10" x14ac:dyDescent="0.25">
      <c r="A105" s="214">
        <v>91</v>
      </c>
      <c r="B105" s="39"/>
      <c r="C105" s="39"/>
      <c r="D105" s="39"/>
      <c r="E105" s="40"/>
      <c r="F105" s="41"/>
      <c r="G105" s="42"/>
      <c r="H105" s="42"/>
      <c r="I105" s="39"/>
      <c r="J105" s="39"/>
    </row>
    <row r="106" spans="1:10" x14ac:dyDescent="0.25">
      <c r="A106" s="214">
        <v>92</v>
      </c>
      <c r="B106" s="39"/>
      <c r="C106" s="39"/>
      <c r="D106" s="39"/>
      <c r="E106" s="40"/>
      <c r="F106" s="41"/>
      <c r="G106" s="42"/>
      <c r="H106" s="42"/>
      <c r="I106" s="39"/>
      <c r="J106" s="39"/>
    </row>
    <row r="107" spans="1:10" x14ac:dyDescent="0.25">
      <c r="A107" s="214">
        <v>93</v>
      </c>
      <c r="B107" s="39"/>
      <c r="C107" s="39"/>
      <c r="D107" s="39"/>
      <c r="E107" s="40"/>
      <c r="F107" s="41"/>
      <c r="G107" s="42"/>
      <c r="H107" s="42"/>
      <c r="I107" s="39"/>
      <c r="J107" s="39"/>
    </row>
    <row r="108" spans="1:10" x14ac:dyDescent="0.25">
      <c r="A108" s="214">
        <v>94</v>
      </c>
      <c r="B108" s="39"/>
      <c r="C108" s="39"/>
      <c r="D108" s="39"/>
      <c r="E108" s="40"/>
      <c r="F108" s="41"/>
      <c r="G108" s="42"/>
      <c r="H108" s="42"/>
      <c r="I108" s="39"/>
      <c r="J108" s="39"/>
    </row>
    <row r="109" spans="1:10" x14ac:dyDescent="0.25">
      <c r="A109" s="214">
        <v>95</v>
      </c>
      <c r="B109" s="39"/>
      <c r="C109" s="39"/>
      <c r="D109" s="39"/>
      <c r="E109" s="40"/>
      <c r="F109" s="41"/>
      <c r="G109" s="42"/>
      <c r="H109" s="42"/>
      <c r="I109" s="39"/>
      <c r="J109" s="39"/>
    </row>
    <row r="110" spans="1:10" x14ac:dyDescent="0.25">
      <c r="A110" s="214">
        <v>96</v>
      </c>
      <c r="B110" s="39"/>
      <c r="C110" s="39"/>
      <c r="D110" s="39"/>
      <c r="E110" s="40"/>
      <c r="F110" s="41"/>
      <c r="G110" s="42"/>
      <c r="H110" s="42"/>
      <c r="I110" s="39"/>
      <c r="J110" s="39"/>
    </row>
    <row r="111" spans="1:10" x14ac:dyDescent="0.25">
      <c r="A111" s="214">
        <v>97</v>
      </c>
      <c r="B111" s="39"/>
      <c r="C111" s="39"/>
      <c r="D111" s="39"/>
      <c r="E111" s="40"/>
      <c r="F111" s="41"/>
      <c r="G111" s="42"/>
      <c r="H111" s="42"/>
      <c r="I111" s="39"/>
      <c r="J111" s="39"/>
    </row>
    <row r="112" spans="1:10" x14ac:dyDescent="0.25">
      <c r="A112" s="214">
        <v>98</v>
      </c>
      <c r="B112" s="39"/>
      <c r="C112" s="39"/>
      <c r="D112" s="39"/>
      <c r="E112" s="40"/>
      <c r="F112" s="41"/>
      <c r="G112" s="42"/>
      <c r="H112" s="42"/>
      <c r="I112" s="39"/>
      <c r="J112" s="39"/>
    </row>
    <row r="113" spans="1:10" x14ac:dyDescent="0.25">
      <c r="A113" s="214">
        <v>99</v>
      </c>
      <c r="B113" s="39"/>
      <c r="C113" s="39"/>
      <c r="D113" s="39"/>
      <c r="E113" s="40"/>
      <c r="F113" s="41"/>
      <c r="G113" s="42"/>
      <c r="H113" s="42"/>
      <c r="I113" s="39"/>
      <c r="J113" s="39"/>
    </row>
    <row r="114" spans="1:10" x14ac:dyDescent="0.25">
      <c r="A114" s="214">
        <v>100</v>
      </c>
      <c r="B114" s="39"/>
      <c r="C114" s="39"/>
      <c r="D114" s="39"/>
      <c r="E114" s="40"/>
      <c r="F114" s="41"/>
      <c r="G114" s="42"/>
      <c r="H114" s="42"/>
      <c r="I114" s="39"/>
      <c r="J114" s="39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5">
    <mergeCell ref="E7:G7"/>
    <mergeCell ref="A9:B9"/>
    <mergeCell ref="A10:B10"/>
    <mergeCell ref="C6:D6"/>
    <mergeCell ref="C7:D7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E5815"/>
  <sheetViews>
    <sheetView tabSelected="1" zoomScale="80" zoomScaleNormal="80" workbookViewId="0">
      <pane xSplit="4" topLeftCell="E1" activePane="topRight" state="frozen"/>
      <selection pane="topRight" activeCell="E16" sqref="E16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3.140625" bestFit="1" customWidth="1"/>
    <col min="25" max="25" width="16.28515625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1" ht="15.75" thickBot="1" x14ac:dyDescent="0.3"/>
    <row r="4" spans="1:31" s="36" customFormat="1" ht="18.75" customHeight="1" thickBot="1" x14ac:dyDescent="0.25">
      <c r="A4" s="199" t="s">
        <v>263</v>
      </c>
      <c r="B4" s="84" t="s">
        <v>1509</v>
      </c>
      <c r="C4" s="84" t="s">
        <v>0</v>
      </c>
      <c r="D4" s="84" t="s">
        <v>100</v>
      </c>
      <c r="E4" s="80" t="s">
        <v>1510</v>
      </c>
      <c r="F4" s="79" t="s">
        <v>1511</v>
      </c>
      <c r="G4" s="80" t="s">
        <v>1512</v>
      </c>
      <c r="H4" s="80" t="s">
        <v>1513</v>
      </c>
      <c r="I4" s="81" t="s">
        <v>187</v>
      </c>
      <c r="J4" s="82" t="s">
        <v>1514</v>
      </c>
      <c r="K4" s="83" t="s">
        <v>1515</v>
      </c>
      <c r="L4" s="83" t="s">
        <v>1516</v>
      </c>
      <c r="M4" s="83" t="s">
        <v>1517</v>
      </c>
      <c r="N4" s="83" t="s">
        <v>1518</v>
      </c>
      <c r="O4" s="216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1519</v>
      </c>
      <c r="X4" s="49" t="s">
        <v>309</v>
      </c>
      <c r="Y4" s="49" t="s">
        <v>1520</v>
      </c>
      <c r="Z4" s="49" t="s">
        <v>109</v>
      </c>
      <c r="AA4" s="49" t="s">
        <v>1521</v>
      </c>
      <c r="AB4" s="49" t="s">
        <v>1522</v>
      </c>
      <c r="AC4" s="49" t="s">
        <v>1523</v>
      </c>
      <c r="AD4" s="49" t="s">
        <v>1517</v>
      </c>
      <c r="AE4" s="49" t="s">
        <v>1524</v>
      </c>
    </row>
    <row r="5" spans="1:31" s="29" customFormat="1" ht="18.75" customHeight="1" x14ac:dyDescent="0.25">
      <c r="A5" s="29">
        <v>1</v>
      </c>
      <c r="B5" s="28" t="s">
        <v>106</v>
      </c>
      <c r="C5" s="28" t="s">
        <v>257</v>
      </c>
      <c r="D5" s="28" t="s">
        <v>104</v>
      </c>
      <c r="E5" s="73">
        <v>44788</v>
      </c>
      <c r="F5" s="28" t="s">
        <v>105</v>
      </c>
      <c r="G5" s="78">
        <v>10755115385</v>
      </c>
      <c r="H5" s="76" t="s">
        <v>258</v>
      </c>
      <c r="I5" s="76" t="s">
        <v>259</v>
      </c>
      <c r="J5" s="66" t="s">
        <v>53</v>
      </c>
      <c r="K5" s="30" t="s">
        <v>260</v>
      </c>
      <c r="L5" s="31">
        <v>700</v>
      </c>
      <c r="M5" s="31">
        <v>126</v>
      </c>
      <c r="N5" s="31">
        <v>826</v>
      </c>
      <c r="O5" s="217"/>
      <c r="P5" s="28" t="s">
        <v>102</v>
      </c>
      <c r="Q5" s="28"/>
      <c r="R5" s="28"/>
      <c r="S5"/>
      <c r="T5"/>
      <c r="U5"/>
      <c r="V5"/>
      <c r="W5" s="29">
        <v>1</v>
      </c>
      <c r="X5" s="29">
        <v>14</v>
      </c>
      <c r="Y5" s="29" t="s">
        <v>202</v>
      </c>
      <c r="AA5" s="29">
        <v>826</v>
      </c>
      <c r="AB5" s="29">
        <v>700</v>
      </c>
      <c r="AC5" s="29">
        <v>10</v>
      </c>
      <c r="AD5" s="29">
        <v>126</v>
      </c>
      <c r="AE5" s="29">
        <v>700</v>
      </c>
    </row>
    <row r="6" spans="1:31" s="29" customFormat="1" ht="18.75" customHeight="1" x14ac:dyDescent="0.25">
      <c r="B6" s="28"/>
      <c r="C6" s="28"/>
      <c r="D6" s="28"/>
      <c r="O6" s="217"/>
      <c r="P6" s="28"/>
      <c r="Q6" s="28"/>
      <c r="R6" s="28"/>
      <c r="S6"/>
      <c r="T6"/>
      <c r="U6"/>
      <c r="V6"/>
      <c r="W6" s="29">
        <v>2</v>
      </c>
      <c r="X6" s="29">
        <v>14</v>
      </c>
      <c r="Y6" s="29" t="s">
        <v>202</v>
      </c>
      <c r="AA6" s="29">
        <v>826</v>
      </c>
      <c r="AB6" s="29">
        <v>700</v>
      </c>
      <c r="AC6" s="29">
        <v>10</v>
      </c>
      <c r="AD6" s="29">
        <v>126</v>
      </c>
      <c r="AE6" s="29">
        <v>700</v>
      </c>
    </row>
    <row r="7" spans="1:31" s="29" customFormat="1" ht="18.75" customHeight="1" x14ac:dyDescent="0.25">
      <c r="B7" s="28"/>
      <c r="C7" s="28"/>
      <c r="D7" s="28"/>
      <c r="O7" s="217"/>
      <c r="P7" s="75"/>
      <c r="Q7" s="28"/>
      <c r="R7" s="28"/>
      <c r="S7"/>
      <c r="T7"/>
      <c r="U7"/>
      <c r="V7"/>
      <c r="W7" s="29">
        <v>3</v>
      </c>
      <c r="X7" s="29">
        <v>14</v>
      </c>
      <c r="Y7" s="29" t="s">
        <v>202</v>
      </c>
      <c r="AA7" s="29">
        <v>826</v>
      </c>
      <c r="AB7" s="29">
        <v>700</v>
      </c>
      <c r="AC7" s="29">
        <v>10</v>
      </c>
      <c r="AD7" s="29">
        <v>126</v>
      </c>
      <c r="AE7" s="29">
        <v>700</v>
      </c>
    </row>
    <row r="8" spans="1:31" s="29" customFormat="1" ht="18.600000000000001" customHeight="1" x14ac:dyDescent="0.25">
      <c r="A8" s="29">
        <v>2</v>
      </c>
      <c r="B8" s="28" t="s">
        <v>1548</v>
      </c>
      <c r="C8" s="28" t="s">
        <v>1525</v>
      </c>
      <c r="D8" s="28" t="s">
        <v>250</v>
      </c>
      <c r="E8" s="73">
        <v>44788</v>
      </c>
      <c r="F8" s="28" t="s">
        <v>102</v>
      </c>
      <c r="G8" s="78">
        <v>75511538</v>
      </c>
      <c r="H8" s="76" t="s">
        <v>258</v>
      </c>
      <c r="I8" s="76" t="s">
        <v>259</v>
      </c>
      <c r="J8" s="66" t="s">
        <v>53</v>
      </c>
      <c r="K8" s="30" t="s">
        <v>260</v>
      </c>
      <c r="L8" s="31">
        <v>700</v>
      </c>
      <c r="M8" s="31">
        <v>126</v>
      </c>
      <c r="N8" s="31">
        <v>826</v>
      </c>
      <c r="O8" s="217"/>
      <c r="P8" s="28"/>
      <c r="Q8" s="28"/>
      <c r="R8" s="28"/>
      <c r="S8"/>
      <c r="T8"/>
      <c r="U8"/>
      <c r="V8"/>
      <c r="W8" s="29">
        <v>1</v>
      </c>
      <c r="X8" s="29">
        <v>14</v>
      </c>
      <c r="Y8" s="29" t="s">
        <v>202</v>
      </c>
      <c r="AA8" s="29">
        <v>826</v>
      </c>
      <c r="AB8" s="29">
        <v>700</v>
      </c>
      <c r="AC8" s="29">
        <v>10</v>
      </c>
      <c r="AD8" s="29">
        <v>126</v>
      </c>
      <c r="AE8" s="29">
        <v>700</v>
      </c>
    </row>
    <row r="9" spans="1:31" s="29" customFormat="1" ht="18.75" customHeight="1" x14ac:dyDescent="0.25">
      <c r="B9" s="28"/>
      <c r="C9" s="28"/>
      <c r="D9" s="28"/>
      <c r="O9" s="217"/>
      <c r="P9" s="28"/>
      <c r="Q9" s="28"/>
      <c r="R9" s="28"/>
      <c r="S9"/>
      <c r="T9"/>
      <c r="U9"/>
      <c r="V9"/>
      <c r="W9" s="29">
        <v>2</v>
      </c>
      <c r="X9" s="29">
        <v>14</v>
      </c>
      <c r="Y9" s="29" t="s">
        <v>202</v>
      </c>
      <c r="AA9" s="29">
        <v>826</v>
      </c>
      <c r="AB9" s="29">
        <v>700</v>
      </c>
      <c r="AC9" s="29">
        <v>10</v>
      </c>
      <c r="AD9" s="29">
        <v>126</v>
      </c>
      <c r="AE9" s="29">
        <v>700</v>
      </c>
    </row>
    <row r="10" spans="1:31" s="29" customFormat="1" ht="18.75" customHeight="1" x14ac:dyDescent="0.25">
      <c r="B10" s="28"/>
      <c r="C10" s="28"/>
      <c r="D10" s="28"/>
      <c r="O10" s="217"/>
      <c r="P10" s="75"/>
      <c r="Q10" s="28"/>
      <c r="R10" s="28"/>
      <c r="S10"/>
      <c r="T10"/>
      <c r="U10"/>
      <c r="V10"/>
      <c r="W10" s="29">
        <v>3</v>
      </c>
      <c r="X10" s="29">
        <v>14</v>
      </c>
      <c r="Y10" s="29" t="s">
        <v>202</v>
      </c>
      <c r="AA10" s="29">
        <v>826</v>
      </c>
      <c r="AB10" s="29">
        <v>700</v>
      </c>
      <c r="AC10" s="29">
        <v>10</v>
      </c>
      <c r="AD10" s="29">
        <v>126</v>
      </c>
      <c r="AE10" s="29">
        <v>700</v>
      </c>
    </row>
    <row r="11" spans="1:31" s="29" customFormat="1" ht="18.75" customHeight="1" x14ac:dyDescent="0.25">
      <c r="B11" s="28"/>
      <c r="C11" s="28"/>
      <c r="D11" s="28"/>
      <c r="O11" s="217"/>
      <c r="P11" s="28"/>
      <c r="Q11" s="28"/>
      <c r="R11" s="28"/>
      <c r="S11"/>
      <c r="T11"/>
      <c r="U11"/>
      <c r="V11"/>
      <c r="W11" s="29">
        <v>4</v>
      </c>
      <c r="X11" s="29">
        <v>14</v>
      </c>
      <c r="Y11" s="29" t="s">
        <v>202</v>
      </c>
      <c r="AA11" s="29">
        <v>826</v>
      </c>
      <c r="AB11" s="29">
        <v>700</v>
      </c>
      <c r="AC11" s="29">
        <v>10</v>
      </c>
      <c r="AD11" s="29">
        <v>126</v>
      </c>
      <c r="AE11" s="29">
        <v>700</v>
      </c>
    </row>
    <row r="12" spans="1:31" s="29" customFormat="1" ht="18.75" customHeight="1" x14ac:dyDescent="0.25">
      <c r="B12" s="28"/>
      <c r="C12" s="28"/>
      <c r="D12" s="28"/>
      <c r="O12" s="217"/>
      <c r="P12" s="28"/>
      <c r="Q12" s="28"/>
      <c r="R12" s="28"/>
      <c r="S12"/>
      <c r="T12"/>
      <c r="U12"/>
      <c r="V12"/>
      <c r="W12" s="29">
        <v>5</v>
      </c>
      <c r="X12" s="29">
        <v>14</v>
      </c>
      <c r="Y12" s="29" t="s">
        <v>202</v>
      </c>
      <c r="AA12" s="29">
        <v>826</v>
      </c>
      <c r="AB12" s="29">
        <v>700</v>
      </c>
      <c r="AC12" s="29">
        <v>10</v>
      </c>
      <c r="AD12" s="29">
        <v>126</v>
      </c>
      <c r="AE12" s="29">
        <v>700</v>
      </c>
    </row>
    <row r="13" spans="1:31" s="29" customFormat="1" ht="18.75" customHeight="1" x14ac:dyDescent="0.25">
      <c r="B13" s="28"/>
      <c r="C13" s="28"/>
      <c r="D13" s="28"/>
      <c r="O13" s="217"/>
      <c r="P13" s="75"/>
      <c r="Q13" s="28"/>
      <c r="R13" s="28"/>
      <c r="S13"/>
      <c r="T13"/>
      <c r="U13"/>
      <c r="V13"/>
      <c r="W13" s="29">
        <v>6</v>
      </c>
      <c r="X13" s="29">
        <v>14</v>
      </c>
      <c r="Y13" s="29" t="s">
        <v>202</v>
      </c>
      <c r="AA13" s="29">
        <v>826</v>
      </c>
      <c r="AB13" s="29">
        <v>700</v>
      </c>
      <c r="AC13" s="29">
        <v>10</v>
      </c>
      <c r="AD13" s="29">
        <v>126</v>
      </c>
      <c r="AE13" s="29">
        <v>700</v>
      </c>
    </row>
    <row r="14" spans="1:31" s="29" customFormat="1" ht="18.600000000000001" customHeight="1" x14ac:dyDescent="0.25">
      <c r="A14" s="29">
        <v>2</v>
      </c>
      <c r="B14" s="28" t="s">
        <v>1548</v>
      </c>
      <c r="C14" s="28" t="s">
        <v>1525</v>
      </c>
      <c r="D14" s="28" t="s">
        <v>1551</v>
      </c>
      <c r="E14" s="73">
        <v>44788</v>
      </c>
      <c r="F14" s="28" t="s">
        <v>102</v>
      </c>
      <c r="G14" s="78">
        <v>75511538</v>
      </c>
      <c r="H14" s="76" t="s">
        <v>258</v>
      </c>
      <c r="I14" s="76" t="s">
        <v>259</v>
      </c>
      <c r="J14" s="66" t="s">
        <v>53</v>
      </c>
      <c r="K14" s="30" t="s">
        <v>260</v>
      </c>
      <c r="L14" s="31">
        <v>700</v>
      </c>
      <c r="M14" s="31">
        <v>126</v>
      </c>
      <c r="N14" s="31">
        <v>826</v>
      </c>
      <c r="O14" s="217"/>
      <c r="P14" s="28"/>
      <c r="Q14" s="28"/>
      <c r="R14" s="28"/>
      <c r="S14"/>
      <c r="T14"/>
      <c r="U14"/>
      <c r="V14"/>
      <c r="W14" s="29">
        <v>1</v>
      </c>
      <c r="X14" s="29">
        <v>14</v>
      </c>
      <c r="Y14" s="29" t="s">
        <v>202</v>
      </c>
      <c r="AA14" s="29">
        <v>826</v>
      </c>
      <c r="AB14" s="29">
        <v>700</v>
      </c>
      <c r="AC14" s="29">
        <v>10</v>
      </c>
      <c r="AD14" s="29">
        <v>126</v>
      </c>
      <c r="AE14" s="29">
        <v>700</v>
      </c>
    </row>
    <row r="15" spans="1:31" s="29" customFormat="1" ht="18.75" customHeight="1" x14ac:dyDescent="0.25">
      <c r="B15" s="28"/>
      <c r="C15" s="28"/>
      <c r="D15" s="28"/>
      <c r="O15" s="217"/>
      <c r="P15" s="28"/>
      <c r="Q15" s="28"/>
      <c r="R15" s="28"/>
      <c r="S15"/>
      <c r="T15"/>
      <c r="U15"/>
      <c r="V15"/>
      <c r="W15" s="29">
        <v>2</v>
      </c>
      <c r="X15" s="29">
        <v>14</v>
      </c>
      <c r="Y15" s="29" t="s">
        <v>202</v>
      </c>
      <c r="AA15" s="29">
        <v>826</v>
      </c>
      <c r="AB15" s="29">
        <v>700</v>
      </c>
      <c r="AC15" s="29">
        <v>10</v>
      </c>
      <c r="AD15" s="29">
        <v>126</v>
      </c>
      <c r="AE15" s="29">
        <v>700</v>
      </c>
    </row>
    <row r="16" spans="1:31" s="29" customFormat="1" ht="18.75" customHeight="1" x14ac:dyDescent="0.25">
      <c r="B16" s="28"/>
      <c r="C16" s="28"/>
      <c r="D16" s="28"/>
      <c r="O16" s="217"/>
      <c r="P16" s="75"/>
      <c r="Q16" s="28"/>
      <c r="R16" s="28"/>
      <c r="S16"/>
      <c r="T16"/>
      <c r="U16"/>
      <c r="V16"/>
      <c r="W16" s="29">
        <v>3</v>
      </c>
      <c r="X16" s="29">
        <v>14</v>
      </c>
      <c r="Y16" s="29" t="s">
        <v>202</v>
      </c>
      <c r="AA16" s="29">
        <v>826</v>
      </c>
      <c r="AB16" s="29">
        <v>700</v>
      </c>
      <c r="AC16" s="29">
        <v>10</v>
      </c>
      <c r="AD16" s="29">
        <v>126</v>
      </c>
      <c r="AE16" s="29">
        <v>700</v>
      </c>
    </row>
    <row r="17" spans="1:31" s="29" customFormat="1" ht="18.75" customHeight="1" x14ac:dyDescent="0.25">
      <c r="B17" s="28"/>
      <c r="C17" s="28"/>
      <c r="D17" s="28"/>
      <c r="O17" s="217"/>
      <c r="P17" s="28"/>
      <c r="Q17" s="28"/>
      <c r="R17" s="28"/>
      <c r="S17"/>
      <c r="T17"/>
      <c r="U17"/>
      <c r="V17"/>
      <c r="W17" s="29">
        <v>4</v>
      </c>
      <c r="X17" s="29">
        <v>14</v>
      </c>
      <c r="Y17" s="29" t="s">
        <v>202</v>
      </c>
      <c r="AA17" s="29">
        <v>826</v>
      </c>
      <c r="AB17" s="29">
        <v>700</v>
      </c>
      <c r="AC17" s="29">
        <v>10</v>
      </c>
      <c r="AD17" s="29">
        <v>126</v>
      </c>
      <c r="AE17" s="29">
        <v>700</v>
      </c>
    </row>
    <row r="18" spans="1:31" s="29" customFormat="1" ht="18.75" customHeight="1" x14ac:dyDescent="0.25">
      <c r="B18" s="28"/>
      <c r="C18" s="28"/>
      <c r="D18" s="28"/>
      <c r="O18" s="217"/>
      <c r="P18" s="28"/>
      <c r="Q18" s="28"/>
      <c r="R18" s="28"/>
      <c r="S18"/>
      <c r="T18"/>
      <c r="U18"/>
      <c r="V18"/>
      <c r="W18" s="29">
        <v>5</v>
      </c>
      <c r="X18" s="29">
        <v>14</v>
      </c>
      <c r="Y18" s="29" t="s">
        <v>202</v>
      </c>
      <c r="AA18" s="29">
        <v>826</v>
      </c>
      <c r="AB18" s="29">
        <v>700</v>
      </c>
      <c r="AC18" s="29">
        <v>10</v>
      </c>
      <c r="AD18" s="29">
        <v>126</v>
      </c>
      <c r="AE18" s="29">
        <v>700</v>
      </c>
    </row>
    <row r="19" spans="1:31" s="29" customFormat="1" ht="18.75" customHeight="1" x14ac:dyDescent="0.25">
      <c r="B19" s="28"/>
      <c r="C19" s="28"/>
      <c r="D19" s="28"/>
      <c r="O19" s="217"/>
      <c r="P19" s="75"/>
      <c r="Q19" s="28"/>
      <c r="R19" s="28"/>
      <c r="S19"/>
      <c r="T19"/>
      <c r="U19"/>
      <c r="V19"/>
      <c r="W19" s="29">
        <v>6</v>
      </c>
      <c r="X19" s="29">
        <v>14</v>
      </c>
      <c r="Y19" s="29" t="s">
        <v>202</v>
      </c>
      <c r="AA19" s="29">
        <v>826</v>
      </c>
      <c r="AB19" s="29">
        <v>700</v>
      </c>
      <c r="AC19" s="29">
        <v>10</v>
      </c>
      <c r="AD19" s="29">
        <v>126</v>
      </c>
      <c r="AE19" s="29">
        <v>700</v>
      </c>
    </row>
    <row r="20" spans="1:31" s="29" customFormat="1" ht="18.600000000000001" customHeight="1" x14ac:dyDescent="0.25">
      <c r="A20" s="29">
        <v>2</v>
      </c>
      <c r="B20" s="28" t="s">
        <v>106</v>
      </c>
      <c r="C20" s="28" t="s">
        <v>257</v>
      </c>
      <c r="D20" s="28" t="s">
        <v>1549</v>
      </c>
      <c r="E20" s="73">
        <v>44788</v>
      </c>
      <c r="F20" s="28" t="s">
        <v>102</v>
      </c>
      <c r="G20" s="78">
        <v>75511538</v>
      </c>
      <c r="H20" s="76" t="s">
        <v>258</v>
      </c>
      <c r="I20" s="76" t="s">
        <v>259</v>
      </c>
      <c r="J20" s="66" t="s">
        <v>53</v>
      </c>
      <c r="K20" s="30" t="s">
        <v>260</v>
      </c>
      <c r="L20" s="31">
        <v>700</v>
      </c>
      <c r="M20" s="31">
        <v>126</v>
      </c>
      <c r="N20" s="31">
        <v>826</v>
      </c>
      <c r="O20" s="217" t="s">
        <v>464</v>
      </c>
      <c r="P20" s="28" t="s">
        <v>102</v>
      </c>
      <c r="Q20" s="28" t="s">
        <v>257</v>
      </c>
      <c r="R20" s="28" t="s">
        <v>1549</v>
      </c>
      <c r="S20">
        <v>111</v>
      </c>
      <c r="T20">
        <v>222</v>
      </c>
      <c r="U20">
        <v>333</v>
      </c>
      <c r="V20" t="s">
        <v>1550</v>
      </c>
      <c r="W20" s="29">
        <v>1</v>
      </c>
      <c r="X20" s="29">
        <v>14</v>
      </c>
      <c r="Y20" s="29" t="s">
        <v>202</v>
      </c>
      <c r="AA20" s="29">
        <v>826</v>
      </c>
      <c r="AB20" s="29">
        <v>700</v>
      </c>
      <c r="AC20" s="29">
        <v>10</v>
      </c>
      <c r="AD20" s="29">
        <v>126</v>
      </c>
      <c r="AE20" s="29">
        <v>700</v>
      </c>
    </row>
    <row r="21" spans="1:31" s="29" customFormat="1" ht="18.75" customHeight="1" x14ac:dyDescent="0.25">
      <c r="B21" s="28"/>
      <c r="C21" s="28"/>
      <c r="D21" s="28"/>
      <c r="O21" s="217"/>
      <c r="P21" s="28"/>
      <c r="Q21" s="28"/>
      <c r="R21" s="28"/>
      <c r="S21"/>
      <c r="T21"/>
      <c r="U21"/>
      <c r="V21"/>
      <c r="W21" s="29">
        <v>2</v>
      </c>
      <c r="X21" s="29">
        <v>14</v>
      </c>
      <c r="Y21" s="29" t="s">
        <v>202</v>
      </c>
      <c r="AA21" s="29">
        <v>826</v>
      </c>
      <c r="AB21" s="29">
        <v>700</v>
      </c>
      <c r="AC21" s="29">
        <v>10</v>
      </c>
      <c r="AD21" s="29">
        <v>126</v>
      </c>
      <c r="AE21" s="29">
        <v>700</v>
      </c>
    </row>
    <row r="22" spans="1:31" s="29" customFormat="1" ht="18.75" customHeight="1" x14ac:dyDescent="0.25">
      <c r="B22" s="28"/>
      <c r="C22" s="28"/>
      <c r="D22" s="28"/>
      <c r="O22" s="217"/>
      <c r="P22" s="75"/>
      <c r="Q22" s="28"/>
      <c r="R22" s="28"/>
      <c r="S22"/>
      <c r="T22"/>
      <c r="U22"/>
      <c r="V22"/>
      <c r="W22" s="29">
        <v>3</v>
      </c>
      <c r="X22" s="29">
        <v>14</v>
      </c>
      <c r="Y22" s="29" t="s">
        <v>202</v>
      </c>
      <c r="AA22" s="29">
        <v>826</v>
      </c>
      <c r="AB22" s="29">
        <v>700</v>
      </c>
      <c r="AC22" s="29">
        <v>10</v>
      </c>
      <c r="AD22" s="29">
        <v>126</v>
      </c>
      <c r="AE22" s="29">
        <v>700</v>
      </c>
    </row>
    <row r="23" spans="1:31" ht="18.7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</row>
    <row r="24" spans="1:31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</row>
    <row r="25" spans="1:31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</row>
    <row r="26" spans="1:31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</row>
    <row r="27" spans="1:31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</row>
    <row r="28" spans="1:31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</row>
    <row r="29" spans="1:31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</row>
    <row r="30" spans="1:31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</row>
    <row r="31" spans="1:31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</row>
    <row r="32" spans="1:31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</row>
    <row r="33" spans="2:13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</row>
    <row r="34" spans="2:13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</row>
    <row r="35" spans="2:13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</row>
    <row r="36" spans="2:13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</row>
    <row r="37" spans="2:13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</row>
    <row r="38" spans="2:13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</row>
    <row r="39" spans="2:13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</row>
    <row r="40" spans="2:13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</row>
    <row r="41" spans="2:13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</row>
    <row r="42" spans="2:13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</row>
    <row r="43" spans="2:13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</row>
    <row r="44" spans="2:13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</row>
    <row r="45" spans="2:13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</row>
    <row r="46" spans="2:13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</row>
    <row r="47" spans="2:13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</row>
    <row r="48" spans="2:13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  <row r="5804" spans="2:13" ht="18.75" customHeight="1" x14ac:dyDescent="0.25"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7"/>
      <c r="M5804" s="7"/>
    </row>
    <row r="5805" spans="2:13" ht="18.75" customHeight="1" x14ac:dyDescent="0.25"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7"/>
      <c r="M5805" s="7"/>
    </row>
    <row r="5806" spans="2:13" ht="18.75" customHeight="1" x14ac:dyDescent="0.25"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7"/>
      <c r="M5806" s="7"/>
    </row>
    <row r="5807" spans="2:13" ht="18.75" customHeight="1" x14ac:dyDescent="0.25"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7"/>
      <c r="M5807" s="7"/>
    </row>
    <row r="5808" spans="2:13" ht="18.75" customHeight="1" x14ac:dyDescent="0.25"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7"/>
      <c r="M5808" s="7"/>
    </row>
    <row r="5809" spans="2:13" ht="18.75" customHeight="1" x14ac:dyDescent="0.25"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7"/>
      <c r="M5809" s="7"/>
    </row>
    <row r="5810" spans="2:13" ht="18.75" customHeight="1" x14ac:dyDescent="0.25"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7"/>
      <c r="M5810" s="7"/>
    </row>
    <row r="5811" spans="2:13" ht="18.75" customHeight="1" x14ac:dyDescent="0.25"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7"/>
      <c r="M5811" s="7"/>
    </row>
    <row r="5812" spans="2:13" ht="18.75" customHeight="1" x14ac:dyDescent="0.25"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7"/>
      <c r="M5812" s="7"/>
    </row>
    <row r="5813" spans="2:13" ht="18.75" customHeight="1" x14ac:dyDescent="0.25"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7"/>
      <c r="M5813" s="7"/>
    </row>
    <row r="5814" spans="2:13" ht="18.75" customHeight="1" x14ac:dyDescent="0.25"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7"/>
      <c r="M5814" s="7"/>
    </row>
    <row r="5815" spans="2:13" ht="18.75" customHeight="1" x14ac:dyDescent="0.25"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7"/>
      <c r="M5815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3" workbookViewId="0">
      <selection activeCell="C25" sqref="C25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264</v>
      </c>
      <c r="C1" s="93" t="s">
        <v>56</v>
      </c>
      <c r="D1" s="93" t="s">
        <v>265</v>
      </c>
      <c r="E1" s="93" t="s">
        <v>336</v>
      </c>
      <c r="F1" s="94" t="s">
        <v>266</v>
      </c>
    </row>
    <row r="2" spans="1:6" ht="19.5" customHeight="1" x14ac:dyDescent="0.25">
      <c r="A2" s="86" t="s">
        <v>263</v>
      </c>
      <c r="B2" s="87" t="s">
        <v>276</v>
      </c>
      <c r="C2" s="87" t="s">
        <v>319</v>
      </c>
      <c r="D2" s="85" t="s">
        <v>277</v>
      </c>
      <c r="E2" s="85" t="s">
        <v>278</v>
      </c>
      <c r="F2" s="92" t="s">
        <v>279</v>
      </c>
    </row>
    <row r="3" spans="1:6" x14ac:dyDescent="0.25">
      <c r="A3" s="86" t="s">
        <v>262</v>
      </c>
      <c r="B3" s="87" t="s">
        <v>267</v>
      </c>
      <c r="C3" s="87" t="s">
        <v>319</v>
      </c>
      <c r="D3" s="85" t="s">
        <v>272</v>
      </c>
      <c r="E3" s="85" t="s">
        <v>273</v>
      </c>
      <c r="F3" s="87"/>
    </row>
    <row r="4" spans="1:6" x14ac:dyDescent="0.25">
      <c r="A4" s="86" t="s">
        <v>0</v>
      </c>
      <c r="B4" s="87" t="s">
        <v>9</v>
      </c>
      <c r="C4" s="87" t="s">
        <v>319</v>
      </c>
      <c r="D4" s="85" t="s">
        <v>274</v>
      </c>
      <c r="E4" s="85" t="s">
        <v>273</v>
      </c>
      <c r="F4" s="87" t="s">
        <v>275</v>
      </c>
    </row>
    <row r="5" spans="1:6" x14ac:dyDescent="0.25">
      <c r="A5" s="86" t="s">
        <v>100</v>
      </c>
      <c r="B5" s="87" t="s">
        <v>10</v>
      </c>
      <c r="C5" s="87" t="s">
        <v>319</v>
      </c>
      <c r="D5" s="85" t="s">
        <v>280</v>
      </c>
      <c r="E5" s="85" t="s">
        <v>273</v>
      </c>
      <c r="F5" s="87" t="s">
        <v>275</v>
      </c>
    </row>
    <row r="6" spans="1:6" x14ac:dyDescent="0.25">
      <c r="A6" s="86" t="s">
        <v>184</v>
      </c>
      <c r="B6" s="87" t="s">
        <v>269</v>
      </c>
      <c r="C6" s="87" t="s">
        <v>319</v>
      </c>
      <c r="D6" s="85" t="s">
        <v>281</v>
      </c>
      <c r="E6" s="85" t="s">
        <v>273</v>
      </c>
      <c r="F6" s="87"/>
    </row>
    <row r="7" spans="1:6" x14ac:dyDescent="0.25">
      <c r="A7" s="86" t="s">
        <v>96</v>
      </c>
      <c r="B7" s="87" t="s">
        <v>270</v>
      </c>
      <c r="C7" s="87" t="s">
        <v>319</v>
      </c>
      <c r="D7" s="85" t="s">
        <v>284</v>
      </c>
      <c r="E7" s="85" t="s">
        <v>273</v>
      </c>
      <c r="F7" s="87" t="s">
        <v>283</v>
      </c>
    </row>
    <row r="8" spans="1:6" x14ac:dyDescent="0.25">
      <c r="A8" s="86" t="s">
        <v>185</v>
      </c>
      <c r="B8" s="87" t="s">
        <v>286</v>
      </c>
      <c r="C8" s="87" t="s">
        <v>319</v>
      </c>
      <c r="D8" s="85" t="s">
        <v>285</v>
      </c>
      <c r="E8" s="85" t="s">
        <v>273</v>
      </c>
      <c r="F8" s="87"/>
    </row>
    <row r="9" spans="1:6" ht="30" x14ac:dyDescent="0.25">
      <c r="A9" s="86" t="s">
        <v>186</v>
      </c>
      <c r="B9" s="87" t="s">
        <v>288</v>
      </c>
      <c r="C9" s="87" t="s">
        <v>319</v>
      </c>
      <c r="D9" s="85" t="s">
        <v>289</v>
      </c>
      <c r="E9" s="85" t="s">
        <v>290</v>
      </c>
      <c r="F9" s="87"/>
    </row>
    <row r="10" spans="1:6" x14ac:dyDescent="0.25">
      <c r="A10" s="86" t="s">
        <v>187</v>
      </c>
      <c r="B10" s="87" t="s">
        <v>287</v>
      </c>
      <c r="C10" s="87" t="s">
        <v>319</v>
      </c>
      <c r="D10" s="85" t="s">
        <v>291</v>
      </c>
      <c r="E10" s="85" t="s">
        <v>278</v>
      </c>
      <c r="F10" s="87"/>
    </row>
    <row r="11" spans="1:6" x14ac:dyDescent="0.25">
      <c r="A11" s="86" t="s">
        <v>117</v>
      </c>
      <c r="B11" s="87" t="s">
        <v>293</v>
      </c>
      <c r="C11" s="87" t="s">
        <v>319</v>
      </c>
      <c r="D11" s="85" t="s">
        <v>294</v>
      </c>
      <c r="E11" s="85" t="s">
        <v>290</v>
      </c>
      <c r="F11" s="87" t="s">
        <v>292</v>
      </c>
    </row>
    <row r="12" spans="1:6" ht="30" x14ac:dyDescent="0.25">
      <c r="A12" s="86" t="s">
        <v>194</v>
      </c>
      <c r="B12" s="87" t="s">
        <v>268</v>
      </c>
      <c r="C12" s="87" t="s">
        <v>319</v>
      </c>
      <c r="D12" s="85" t="s">
        <v>282</v>
      </c>
      <c r="E12" s="85" t="s">
        <v>273</v>
      </c>
      <c r="F12" s="87" t="s">
        <v>271</v>
      </c>
    </row>
    <row r="13" spans="1:6" ht="45" x14ac:dyDescent="0.25">
      <c r="A13" s="86" t="s">
        <v>188</v>
      </c>
      <c r="B13" s="87" t="s">
        <v>295</v>
      </c>
      <c r="C13" s="87" t="s">
        <v>319</v>
      </c>
      <c r="D13" s="85" t="s">
        <v>296</v>
      </c>
      <c r="E13" s="85" t="s">
        <v>278</v>
      </c>
      <c r="F13" s="87" t="s">
        <v>297</v>
      </c>
    </row>
    <row r="14" spans="1:6" ht="45" x14ac:dyDescent="0.25">
      <c r="A14" s="86" t="s">
        <v>189</v>
      </c>
      <c r="B14" s="87" t="s">
        <v>298</v>
      </c>
      <c r="C14" s="87" t="s">
        <v>319</v>
      </c>
      <c r="D14" s="85" t="s">
        <v>296</v>
      </c>
      <c r="E14" s="85" t="s">
        <v>273</v>
      </c>
      <c r="F14" s="87"/>
    </row>
    <row r="15" spans="1:6" x14ac:dyDescent="0.25">
      <c r="A15" s="86" t="s">
        <v>1</v>
      </c>
      <c r="B15" s="87" t="s">
        <v>299</v>
      </c>
      <c r="C15" s="87" t="s">
        <v>319</v>
      </c>
      <c r="D15" s="85" t="s">
        <v>296</v>
      </c>
      <c r="E15" s="85" t="s">
        <v>273</v>
      </c>
      <c r="F15" s="87"/>
    </row>
    <row r="16" spans="1:6" x14ac:dyDescent="0.25">
      <c r="A16" s="86" t="s">
        <v>61</v>
      </c>
      <c r="B16" s="87" t="s">
        <v>300</v>
      </c>
      <c r="C16" s="87" t="s">
        <v>319</v>
      </c>
      <c r="D16" s="85" t="s">
        <v>296</v>
      </c>
      <c r="E16" s="85" t="s">
        <v>273</v>
      </c>
      <c r="F16" s="87"/>
    </row>
    <row r="17" spans="1:6" x14ac:dyDescent="0.25">
      <c r="A17" s="86" t="s">
        <v>193</v>
      </c>
      <c r="B17" s="87" t="s">
        <v>302</v>
      </c>
      <c r="C17" s="87" t="s">
        <v>319</v>
      </c>
      <c r="D17" s="85" t="s">
        <v>291</v>
      </c>
      <c r="E17" s="85" t="s">
        <v>278</v>
      </c>
      <c r="F17" s="87" t="s">
        <v>321</v>
      </c>
    </row>
    <row r="18" spans="1:6" x14ac:dyDescent="0.25">
      <c r="A18" s="86" t="s">
        <v>190</v>
      </c>
      <c r="B18" s="87" t="s">
        <v>303</v>
      </c>
      <c r="C18" s="87" t="s">
        <v>319</v>
      </c>
      <c r="D18" s="85" t="s">
        <v>322</v>
      </c>
      <c r="E18" s="85" t="s">
        <v>278</v>
      </c>
      <c r="F18" s="87" t="s">
        <v>323</v>
      </c>
    </row>
    <row r="19" spans="1:6" x14ac:dyDescent="0.25">
      <c r="A19" s="86" t="s">
        <v>191</v>
      </c>
      <c r="B19" s="87" t="s">
        <v>304</v>
      </c>
      <c r="C19" s="87" t="s">
        <v>319</v>
      </c>
      <c r="D19" s="85" t="s">
        <v>324</v>
      </c>
      <c r="E19" s="85" t="s">
        <v>278</v>
      </c>
      <c r="F19" s="87" t="s">
        <v>321</v>
      </c>
    </row>
    <row r="20" spans="1:6" x14ac:dyDescent="0.25">
      <c r="A20" s="86" t="s">
        <v>192</v>
      </c>
      <c r="B20" s="87" t="s">
        <v>305</v>
      </c>
      <c r="C20" s="87" t="s">
        <v>319</v>
      </c>
      <c r="D20" s="85" t="s">
        <v>301</v>
      </c>
      <c r="E20" s="85" t="s">
        <v>278</v>
      </c>
      <c r="F20" s="87" t="s">
        <v>321</v>
      </c>
    </row>
    <row r="21" spans="1:6" x14ac:dyDescent="0.25">
      <c r="A21" s="86" t="s">
        <v>195</v>
      </c>
      <c r="B21" s="87" t="s">
        <v>306</v>
      </c>
      <c r="C21" s="87" t="s">
        <v>319</v>
      </c>
      <c r="D21" s="85" t="s">
        <v>326</v>
      </c>
      <c r="E21" s="85" t="s">
        <v>278</v>
      </c>
      <c r="F21" s="87"/>
    </row>
    <row r="22" spans="1:6" x14ac:dyDescent="0.25">
      <c r="A22" s="86" t="s">
        <v>196</v>
      </c>
      <c r="B22" s="87" t="s">
        <v>306</v>
      </c>
      <c r="C22" s="87" t="s">
        <v>319</v>
      </c>
      <c r="D22" s="85" t="s">
        <v>326</v>
      </c>
      <c r="E22" s="85" t="s">
        <v>278</v>
      </c>
      <c r="F22" s="87"/>
    </row>
    <row r="23" spans="1:6" x14ac:dyDescent="0.25">
      <c r="A23" s="86" t="s">
        <v>197</v>
      </c>
      <c r="B23" s="87" t="s">
        <v>306</v>
      </c>
      <c r="C23" s="87" t="s">
        <v>319</v>
      </c>
      <c r="D23" s="85" t="s">
        <v>326</v>
      </c>
      <c r="E23" s="85" t="s">
        <v>278</v>
      </c>
      <c r="F23" s="87"/>
    </row>
    <row r="24" spans="1:6" x14ac:dyDescent="0.25">
      <c r="A24" s="86" t="s">
        <v>198</v>
      </c>
      <c r="B24" s="87" t="s">
        <v>307</v>
      </c>
      <c r="C24" s="87" t="s">
        <v>319</v>
      </c>
      <c r="D24" s="85" t="s">
        <v>325</v>
      </c>
      <c r="E24" s="85" t="s">
        <v>278</v>
      </c>
      <c r="F24" s="87"/>
    </row>
    <row r="25" spans="1:6" x14ac:dyDescent="0.25">
      <c r="A25" s="86" t="s">
        <v>308</v>
      </c>
      <c r="B25" s="87" t="s">
        <v>313</v>
      </c>
      <c r="C25" s="87" t="s">
        <v>320</v>
      </c>
      <c r="D25" s="85" t="s">
        <v>329</v>
      </c>
      <c r="E25" s="85" t="s">
        <v>273</v>
      </c>
      <c r="F25" s="87"/>
    </row>
    <row r="26" spans="1:6" ht="75" x14ac:dyDescent="0.25">
      <c r="A26" s="86" t="s">
        <v>309</v>
      </c>
      <c r="B26" s="87" t="s">
        <v>314</v>
      </c>
      <c r="C26" s="87" t="s">
        <v>320</v>
      </c>
      <c r="D26" s="85" t="s">
        <v>327</v>
      </c>
      <c r="E26" s="85" t="s">
        <v>278</v>
      </c>
      <c r="F26" s="87" t="s">
        <v>328</v>
      </c>
    </row>
    <row r="27" spans="1:6" x14ac:dyDescent="0.25">
      <c r="A27" s="86" t="s">
        <v>310</v>
      </c>
      <c r="B27" s="87" t="s">
        <v>315</v>
      </c>
      <c r="C27" s="87" t="s">
        <v>320</v>
      </c>
      <c r="D27" s="85" t="s">
        <v>330</v>
      </c>
      <c r="E27" s="85" t="s">
        <v>273</v>
      </c>
      <c r="F27" s="87"/>
    </row>
    <row r="28" spans="1:6" x14ac:dyDescent="0.25">
      <c r="A28" s="86" t="s">
        <v>109</v>
      </c>
      <c r="B28" s="87" t="s">
        <v>316</v>
      </c>
      <c r="C28" s="87" t="s">
        <v>320</v>
      </c>
      <c r="D28" s="85" t="s">
        <v>332</v>
      </c>
      <c r="E28" s="85" t="s">
        <v>278</v>
      </c>
      <c r="F28" s="87"/>
    </row>
    <row r="29" spans="1:6" x14ac:dyDescent="0.25">
      <c r="A29" s="86" t="s">
        <v>311</v>
      </c>
      <c r="B29" s="87" t="s">
        <v>331</v>
      </c>
      <c r="C29" s="87" t="s">
        <v>320</v>
      </c>
      <c r="D29" s="85" t="s">
        <v>329</v>
      </c>
      <c r="E29" s="85" t="s">
        <v>273</v>
      </c>
      <c r="F29" s="87"/>
    </row>
    <row r="30" spans="1:6" x14ac:dyDescent="0.25">
      <c r="A30" s="86" t="s">
        <v>205</v>
      </c>
      <c r="B30" s="87" t="s">
        <v>317</v>
      </c>
      <c r="C30" s="87" t="s">
        <v>320</v>
      </c>
      <c r="D30" s="85" t="s">
        <v>329</v>
      </c>
      <c r="E30" s="85" t="s">
        <v>273</v>
      </c>
      <c r="F30" s="87"/>
    </row>
    <row r="31" spans="1:6" ht="30" x14ac:dyDescent="0.25">
      <c r="A31" s="86" t="s">
        <v>312</v>
      </c>
      <c r="B31" s="87" t="s">
        <v>334</v>
      </c>
      <c r="C31" s="87" t="s">
        <v>320</v>
      </c>
      <c r="D31" s="85" t="s">
        <v>272</v>
      </c>
      <c r="E31" s="85" t="s">
        <v>273</v>
      </c>
      <c r="F31" s="87" t="s">
        <v>333</v>
      </c>
    </row>
    <row r="32" spans="1:6" x14ac:dyDescent="0.25">
      <c r="A32" s="86" t="s">
        <v>1</v>
      </c>
      <c r="B32" s="87" t="s">
        <v>318</v>
      </c>
      <c r="C32" s="87" t="s">
        <v>320</v>
      </c>
      <c r="D32" s="85" t="s">
        <v>296</v>
      </c>
      <c r="E32" s="85" t="s">
        <v>273</v>
      </c>
      <c r="F32" s="87"/>
    </row>
    <row r="33" spans="1:6" x14ac:dyDescent="0.25">
      <c r="A33" s="86" t="s">
        <v>206</v>
      </c>
      <c r="B33" s="87" t="s">
        <v>335</v>
      </c>
      <c r="C33" s="87" t="s">
        <v>320</v>
      </c>
      <c r="D33" s="85" t="s">
        <v>296</v>
      </c>
      <c r="E33" s="85" t="s">
        <v>273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19" workbookViewId="0">
      <selection activeCell="B35" sqref="B35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31" t="s">
        <v>337</v>
      </c>
      <c r="B1" s="231"/>
      <c r="C1" s="95"/>
      <c r="D1" s="95"/>
      <c r="E1" s="95"/>
    </row>
    <row r="2" spans="1:5" x14ac:dyDescent="0.25">
      <c r="A2" s="231" t="s">
        <v>338</v>
      </c>
      <c r="B2" s="231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339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340</v>
      </c>
      <c r="C7" s="95"/>
      <c r="D7" s="95"/>
      <c r="E7" s="95"/>
    </row>
    <row r="8" spans="1:5" x14ac:dyDescent="0.25">
      <c r="A8" s="102" t="s">
        <v>36</v>
      </c>
      <c r="B8" s="103" t="s">
        <v>341</v>
      </c>
      <c r="C8" s="95"/>
      <c r="D8" s="95"/>
      <c r="E8" s="95"/>
    </row>
    <row r="9" spans="1:5" x14ac:dyDescent="0.25">
      <c r="A9" s="102" t="s">
        <v>216</v>
      </c>
      <c r="B9" s="103" t="s">
        <v>342</v>
      </c>
      <c r="C9" s="95"/>
      <c r="D9" s="95"/>
      <c r="E9" s="95"/>
    </row>
    <row r="10" spans="1:5" ht="38.25" x14ac:dyDescent="0.25">
      <c r="A10" s="104" t="s">
        <v>343</v>
      </c>
      <c r="B10" s="105" t="s">
        <v>344</v>
      </c>
      <c r="C10" s="95"/>
      <c r="D10" s="95"/>
      <c r="E10" s="95"/>
    </row>
    <row r="11" spans="1:5" x14ac:dyDescent="0.25">
      <c r="A11" s="102" t="s">
        <v>99</v>
      </c>
      <c r="B11" s="103" t="s">
        <v>345</v>
      </c>
      <c r="C11" s="95"/>
      <c r="D11" s="95"/>
      <c r="E11" s="95"/>
    </row>
    <row r="12" spans="1:5" x14ac:dyDescent="0.25">
      <c r="A12" s="102" t="s">
        <v>68</v>
      </c>
      <c r="B12" s="103" t="s">
        <v>346</v>
      </c>
      <c r="C12" s="95"/>
      <c r="D12" s="95"/>
      <c r="E12" s="95"/>
    </row>
    <row r="13" spans="1:5" x14ac:dyDescent="0.25">
      <c r="A13" s="102" t="s">
        <v>347</v>
      </c>
      <c r="B13" s="103" t="s">
        <v>348</v>
      </c>
      <c r="C13" s="95"/>
      <c r="D13" s="95"/>
      <c r="E13" s="95"/>
    </row>
    <row r="14" spans="1:5" x14ac:dyDescent="0.25">
      <c r="A14" s="102" t="s">
        <v>349</v>
      </c>
      <c r="B14" s="103" t="s">
        <v>350</v>
      </c>
      <c r="C14" s="95"/>
      <c r="D14" s="95"/>
      <c r="E14" s="95"/>
    </row>
    <row r="15" spans="1:5" x14ac:dyDescent="0.25">
      <c r="A15" s="102">
        <v>11</v>
      </c>
      <c r="B15" s="103" t="s">
        <v>351</v>
      </c>
      <c r="C15" s="95"/>
      <c r="D15" s="95"/>
      <c r="E15" s="95"/>
    </row>
    <row r="16" spans="1:5" x14ac:dyDescent="0.25">
      <c r="A16" s="102" t="s">
        <v>221</v>
      </c>
      <c r="B16" s="103" t="s">
        <v>352</v>
      </c>
      <c r="C16" s="95"/>
      <c r="D16" s="95"/>
      <c r="E16" s="95"/>
    </row>
    <row r="17" spans="1:5" ht="26.25" x14ac:dyDescent="0.25">
      <c r="A17" s="104" t="s">
        <v>222</v>
      </c>
      <c r="B17" s="103" t="s">
        <v>353</v>
      </c>
      <c r="C17" s="95"/>
      <c r="D17" s="95"/>
      <c r="E17" s="95"/>
    </row>
    <row r="18" spans="1:5" x14ac:dyDescent="0.25">
      <c r="A18" s="102">
        <v>14</v>
      </c>
      <c r="B18" s="103" t="s">
        <v>354</v>
      </c>
      <c r="C18" s="95"/>
      <c r="D18" s="95"/>
      <c r="E18" s="95"/>
    </row>
    <row r="19" spans="1:5" ht="26.25" x14ac:dyDescent="0.25">
      <c r="A19" s="104">
        <v>15</v>
      </c>
      <c r="B19" s="103" t="s">
        <v>355</v>
      </c>
      <c r="C19" s="95"/>
      <c r="D19" s="95"/>
      <c r="E19" s="95"/>
    </row>
    <row r="20" spans="1:5" ht="26.25" x14ac:dyDescent="0.25">
      <c r="A20" s="102">
        <v>16</v>
      </c>
      <c r="B20" s="103" t="s">
        <v>356</v>
      </c>
      <c r="C20" s="95"/>
      <c r="D20" s="95"/>
      <c r="E20" s="95"/>
    </row>
    <row r="21" spans="1:5" x14ac:dyDescent="0.25">
      <c r="A21" s="102" t="s">
        <v>227</v>
      </c>
      <c r="B21" s="103" t="s">
        <v>357</v>
      </c>
      <c r="C21" s="95"/>
      <c r="D21" s="95"/>
      <c r="E21" s="95"/>
    </row>
    <row r="22" spans="1:5" x14ac:dyDescent="0.25">
      <c r="A22" s="102">
        <v>19</v>
      </c>
      <c r="B22" s="103" t="s">
        <v>358</v>
      </c>
      <c r="C22" s="95"/>
      <c r="D22" s="95"/>
      <c r="E22" s="95"/>
    </row>
    <row r="23" spans="1:5" x14ac:dyDescent="0.25">
      <c r="A23" s="102" t="s">
        <v>229</v>
      </c>
      <c r="B23" s="103" t="s">
        <v>359</v>
      </c>
      <c r="C23" s="95"/>
      <c r="D23" s="95"/>
      <c r="E23" s="95"/>
    </row>
    <row r="24" spans="1:5" x14ac:dyDescent="0.25">
      <c r="A24" s="102">
        <v>21</v>
      </c>
      <c r="B24" s="103" t="s">
        <v>360</v>
      </c>
      <c r="C24" s="95"/>
      <c r="D24" s="95"/>
      <c r="E24" s="95"/>
    </row>
    <row r="25" spans="1:5" x14ac:dyDescent="0.25">
      <c r="A25" s="102">
        <v>23</v>
      </c>
      <c r="B25" s="103" t="s">
        <v>361</v>
      </c>
      <c r="C25" s="95"/>
      <c r="D25" s="95"/>
      <c r="E25" s="95"/>
    </row>
    <row r="26" spans="1:5" x14ac:dyDescent="0.25">
      <c r="A26" s="102">
        <v>24</v>
      </c>
      <c r="B26" s="103" t="s">
        <v>362</v>
      </c>
      <c r="C26" s="95"/>
      <c r="D26" s="95"/>
      <c r="E26" s="95"/>
    </row>
    <row r="27" spans="1:5" x14ac:dyDescent="0.25">
      <c r="A27" s="102">
        <v>28</v>
      </c>
      <c r="B27" s="103" t="s">
        <v>363</v>
      </c>
      <c r="C27" s="95"/>
      <c r="D27" s="95"/>
      <c r="E27" s="95"/>
    </row>
    <row r="28" spans="1:5" x14ac:dyDescent="0.25">
      <c r="A28" s="102">
        <v>29</v>
      </c>
      <c r="B28" s="103" t="s">
        <v>364</v>
      </c>
      <c r="C28" s="95"/>
      <c r="D28" s="95"/>
      <c r="E28" s="95"/>
    </row>
    <row r="29" spans="1:5" ht="39" x14ac:dyDescent="0.25">
      <c r="A29" s="104" t="s">
        <v>236</v>
      </c>
      <c r="B29" s="103" t="s">
        <v>365</v>
      </c>
      <c r="C29" s="95"/>
      <c r="D29" s="95"/>
      <c r="E29" s="95"/>
    </row>
    <row r="30" spans="1:5" x14ac:dyDescent="0.25">
      <c r="A30" s="102" t="s">
        <v>237</v>
      </c>
      <c r="B30" s="103" t="s">
        <v>366</v>
      </c>
      <c r="C30" s="95"/>
      <c r="D30" s="95"/>
      <c r="E30" s="95"/>
    </row>
    <row r="31" spans="1:5" x14ac:dyDescent="0.25">
      <c r="A31" s="102">
        <v>32</v>
      </c>
      <c r="B31" s="103" t="s">
        <v>367</v>
      </c>
      <c r="C31" s="95"/>
      <c r="D31" s="95"/>
      <c r="E31" s="95"/>
    </row>
    <row r="32" spans="1:5" x14ac:dyDescent="0.25">
      <c r="A32" s="102">
        <v>34</v>
      </c>
      <c r="B32" s="103" t="s">
        <v>368</v>
      </c>
      <c r="C32" s="95"/>
      <c r="D32" s="95"/>
      <c r="E32" s="95"/>
    </row>
    <row r="33" spans="1:5" x14ac:dyDescent="0.25">
      <c r="A33" s="102">
        <v>35</v>
      </c>
      <c r="B33" s="103" t="s">
        <v>369</v>
      </c>
      <c r="C33" s="95"/>
      <c r="D33" s="95"/>
      <c r="E33" s="95"/>
    </row>
    <row r="34" spans="1:5" x14ac:dyDescent="0.25">
      <c r="A34" s="102">
        <v>36</v>
      </c>
      <c r="B34" s="103" t="s">
        <v>370</v>
      </c>
      <c r="C34" s="95"/>
      <c r="D34" s="95"/>
      <c r="E34" s="95"/>
    </row>
    <row r="35" spans="1:5" x14ac:dyDescent="0.25">
      <c r="A35" s="102">
        <v>37</v>
      </c>
      <c r="B35" s="103" t="s">
        <v>371</v>
      </c>
      <c r="C35" s="95"/>
      <c r="D35" s="95"/>
      <c r="E35" s="95"/>
    </row>
    <row r="36" spans="1:5" x14ac:dyDescent="0.25">
      <c r="A36" s="102" t="s">
        <v>243</v>
      </c>
      <c r="B36" s="103" t="s">
        <v>372</v>
      </c>
      <c r="C36" s="95"/>
      <c r="D36" s="95"/>
      <c r="E36" s="95"/>
    </row>
    <row r="37" spans="1:5" x14ac:dyDescent="0.25">
      <c r="A37" s="102" t="s">
        <v>244</v>
      </c>
      <c r="B37" s="103" t="s">
        <v>373</v>
      </c>
      <c r="C37" s="95"/>
      <c r="D37" s="95"/>
      <c r="E37" s="95"/>
    </row>
    <row r="38" spans="1:5" ht="26.25" x14ac:dyDescent="0.25">
      <c r="A38" s="104">
        <v>42</v>
      </c>
      <c r="B38" s="103" t="s">
        <v>374</v>
      </c>
      <c r="C38" s="95"/>
      <c r="D38" s="95"/>
      <c r="E38" s="95"/>
    </row>
    <row r="39" spans="1:5" x14ac:dyDescent="0.25">
      <c r="A39" s="102">
        <v>43</v>
      </c>
      <c r="B39" s="103" t="s">
        <v>375</v>
      </c>
      <c r="C39" s="95"/>
      <c r="D39" s="95"/>
      <c r="E39" s="95"/>
    </row>
    <row r="40" spans="1:5" ht="26.25" x14ac:dyDescent="0.25">
      <c r="A40" s="104">
        <v>45</v>
      </c>
      <c r="B40" s="103" t="s">
        <v>376</v>
      </c>
      <c r="C40" s="95"/>
      <c r="D40" s="95"/>
      <c r="E40" s="95"/>
    </row>
    <row r="41" spans="1:5" x14ac:dyDescent="0.25">
      <c r="A41" s="104">
        <v>55</v>
      </c>
      <c r="B41" s="103" t="s">
        <v>377</v>
      </c>
      <c r="C41" s="95"/>
      <c r="D41" s="95"/>
      <c r="E41" s="95"/>
    </row>
    <row r="42" spans="1:5" x14ac:dyDescent="0.25">
      <c r="A42" s="102" t="s">
        <v>251</v>
      </c>
      <c r="B42" s="103" t="s">
        <v>378</v>
      </c>
      <c r="C42" s="95"/>
      <c r="D42" s="95"/>
      <c r="E42" s="95"/>
    </row>
    <row r="43" spans="1:5" x14ac:dyDescent="0.25">
      <c r="A43" s="102" t="s">
        <v>254</v>
      </c>
      <c r="B43" s="103" t="s">
        <v>379</v>
      </c>
      <c r="C43" s="95"/>
      <c r="D43" s="95"/>
      <c r="E43" s="95"/>
    </row>
    <row r="44" spans="1:5" x14ac:dyDescent="0.25">
      <c r="A44" s="102" t="s">
        <v>255</v>
      </c>
      <c r="B44" s="103" t="s">
        <v>380</v>
      </c>
      <c r="C44" s="95"/>
      <c r="D44" s="95"/>
      <c r="E44" s="95"/>
    </row>
    <row r="45" spans="1:5" x14ac:dyDescent="0.25">
      <c r="A45" s="102">
        <v>87</v>
      </c>
      <c r="B45" s="103" t="s">
        <v>381</v>
      </c>
      <c r="C45" s="95"/>
      <c r="D45" s="95"/>
      <c r="E45" s="95"/>
    </row>
    <row r="46" spans="1:5" x14ac:dyDescent="0.25">
      <c r="A46" s="102">
        <v>88</v>
      </c>
      <c r="B46" s="103" t="s">
        <v>382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215</v>
      </c>
      <c r="C50" s="95"/>
      <c r="D50" s="95"/>
      <c r="E50" s="95"/>
    </row>
    <row r="51" spans="1:5" x14ac:dyDescent="0.25">
      <c r="A51" s="97" t="s">
        <v>150</v>
      </c>
      <c r="B51" s="99" t="s">
        <v>383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32" t="s">
        <v>384</v>
      </c>
      <c r="B53" s="232"/>
      <c r="C53" s="95"/>
      <c r="D53" s="95"/>
      <c r="E53" s="95"/>
    </row>
    <row r="54" spans="1:5" x14ac:dyDescent="0.25">
      <c r="A54" s="233" t="s">
        <v>385</v>
      </c>
      <c r="B54" s="233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386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32" t="s">
        <v>387</v>
      </c>
      <c r="B59" s="232"/>
      <c r="C59" s="95"/>
      <c r="D59" s="95"/>
      <c r="E59" s="95"/>
    </row>
    <row r="60" spans="1:5" x14ac:dyDescent="0.25">
      <c r="A60" s="234" t="s">
        <v>388</v>
      </c>
      <c r="B60" s="235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216</v>
      </c>
      <c r="C62" s="95"/>
      <c r="D62" s="95"/>
      <c r="E62" s="95"/>
    </row>
    <row r="63" spans="1:5" x14ac:dyDescent="0.25">
      <c r="A63" s="97" t="s">
        <v>150</v>
      </c>
      <c r="B63" s="99" t="s">
        <v>389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32" t="s">
        <v>390</v>
      </c>
      <c r="B65" s="232"/>
      <c r="C65" s="95"/>
      <c r="D65" s="95"/>
      <c r="E65" s="95"/>
    </row>
    <row r="66" spans="1:5" x14ac:dyDescent="0.25">
      <c r="A66" s="233" t="s">
        <v>391</v>
      </c>
      <c r="B66" s="233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36" t="s">
        <v>343</v>
      </c>
      <c r="C68" s="236"/>
      <c r="D68" s="236"/>
      <c r="E68" s="95"/>
    </row>
    <row r="69" spans="1:5" x14ac:dyDescent="0.25">
      <c r="A69" s="111" t="s">
        <v>150</v>
      </c>
      <c r="B69" s="237" t="s">
        <v>392</v>
      </c>
      <c r="C69" s="237"/>
      <c r="D69" s="237"/>
      <c r="E69" s="95"/>
    </row>
    <row r="70" spans="1:5" x14ac:dyDescent="0.25">
      <c r="A70" s="100" t="s">
        <v>152</v>
      </c>
      <c r="B70" s="101" t="s">
        <v>153</v>
      </c>
      <c r="C70" s="101" t="s">
        <v>393</v>
      </c>
      <c r="D70" s="100" t="s">
        <v>394</v>
      </c>
      <c r="E70" s="95"/>
    </row>
    <row r="71" spans="1:5" x14ac:dyDescent="0.25">
      <c r="A71" s="102" t="s">
        <v>395</v>
      </c>
      <c r="B71" s="99" t="s">
        <v>396</v>
      </c>
      <c r="C71" s="112" t="s">
        <v>397</v>
      </c>
      <c r="D71" s="112" t="s">
        <v>1</v>
      </c>
      <c r="E71" s="95"/>
    </row>
    <row r="72" spans="1:5" x14ac:dyDescent="0.25">
      <c r="A72" s="102">
        <v>1016</v>
      </c>
      <c r="B72" s="99" t="s">
        <v>398</v>
      </c>
      <c r="C72" s="112" t="s">
        <v>397</v>
      </c>
      <c r="D72" s="112" t="s">
        <v>399</v>
      </c>
      <c r="E72" s="95"/>
    </row>
    <row r="73" spans="1:5" x14ac:dyDescent="0.25">
      <c r="A73" s="102" t="s">
        <v>400</v>
      </c>
      <c r="B73" s="99" t="s">
        <v>401</v>
      </c>
      <c r="C73" s="112" t="s">
        <v>402</v>
      </c>
      <c r="D73" s="112" t="s">
        <v>403</v>
      </c>
      <c r="E73" s="95"/>
    </row>
    <row r="74" spans="1:5" x14ac:dyDescent="0.25">
      <c r="A74" s="102">
        <v>3000</v>
      </c>
      <c r="B74" s="99" t="s">
        <v>404</v>
      </c>
      <c r="C74" s="112" t="s">
        <v>405</v>
      </c>
      <c r="D74" s="112" t="s">
        <v>406</v>
      </c>
      <c r="E74" s="95"/>
    </row>
    <row r="75" spans="1:5" x14ac:dyDescent="0.25">
      <c r="A75" s="102">
        <v>7152</v>
      </c>
      <c r="B75" s="99" t="s">
        <v>407</v>
      </c>
      <c r="C75" s="112" t="s">
        <v>408</v>
      </c>
      <c r="D75" s="112" t="s">
        <v>60</v>
      </c>
      <c r="E75" s="95"/>
    </row>
    <row r="76" spans="1:5" x14ac:dyDescent="0.25">
      <c r="A76" s="102">
        <v>9995</v>
      </c>
      <c r="B76" s="99" t="s">
        <v>409</v>
      </c>
      <c r="C76" s="112" t="s">
        <v>410</v>
      </c>
      <c r="D76" s="112" t="s">
        <v>411</v>
      </c>
      <c r="E76" s="95"/>
    </row>
    <row r="77" spans="1:5" x14ac:dyDescent="0.25">
      <c r="A77" s="102">
        <v>9996</v>
      </c>
      <c r="B77" s="99" t="s">
        <v>412</v>
      </c>
      <c r="C77" s="112" t="s">
        <v>410</v>
      </c>
      <c r="D77" s="112" t="s">
        <v>413</v>
      </c>
      <c r="E77" s="95"/>
    </row>
    <row r="78" spans="1:5" x14ac:dyDescent="0.25">
      <c r="A78" s="102">
        <v>9997</v>
      </c>
      <c r="B78" s="99" t="s">
        <v>414</v>
      </c>
      <c r="C78" s="112" t="s">
        <v>397</v>
      </c>
      <c r="D78" s="112" t="s">
        <v>415</v>
      </c>
      <c r="E78" s="95"/>
    </row>
    <row r="79" spans="1:5" x14ac:dyDescent="0.25">
      <c r="A79" s="102">
        <v>9998</v>
      </c>
      <c r="B79" s="99" t="s">
        <v>416</v>
      </c>
      <c r="C79" s="112" t="s">
        <v>410</v>
      </c>
      <c r="D79" s="112" t="s">
        <v>417</v>
      </c>
      <c r="E79" s="95"/>
    </row>
    <row r="80" spans="1:5" x14ac:dyDescent="0.25">
      <c r="A80" s="102" t="s">
        <v>418</v>
      </c>
      <c r="B80" s="99" t="s">
        <v>419</v>
      </c>
      <c r="C80" s="112" t="s">
        <v>408</v>
      </c>
      <c r="D80" s="112" t="s">
        <v>420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421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207</v>
      </c>
      <c r="B85" s="99" t="s">
        <v>422</v>
      </c>
      <c r="C85" s="95"/>
      <c r="D85" s="95"/>
      <c r="E85" s="95"/>
    </row>
    <row r="86" spans="1:5" x14ac:dyDescent="0.25">
      <c r="A86" s="102" t="s">
        <v>102</v>
      </c>
      <c r="B86" s="99" t="s">
        <v>423</v>
      </c>
      <c r="C86" s="95"/>
      <c r="D86" s="95"/>
      <c r="E86" s="95"/>
    </row>
    <row r="87" spans="1:5" x14ac:dyDescent="0.25">
      <c r="A87" s="102" t="s">
        <v>104</v>
      </c>
      <c r="B87" s="99" t="s">
        <v>424</v>
      </c>
      <c r="C87" s="95"/>
      <c r="D87" s="95"/>
      <c r="E87" s="95"/>
    </row>
    <row r="88" spans="1:5" x14ac:dyDescent="0.25">
      <c r="A88" s="102" t="s">
        <v>105</v>
      </c>
      <c r="B88" s="99" t="s">
        <v>425</v>
      </c>
      <c r="C88" s="95"/>
      <c r="D88" s="95"/>
      <c r="E88" s="95"/>
    </row>
    <row r="89" spans="1:5" x14ac:dyDescent="0.25">
      <c r="A89" s="102" t="s">
        <v>106</v>
      </c>
      <c r="B89" s="99" t="s">
        <v>426</v>
      </c>
      <c r="C89" s="95"/>
      <c r="D89" s="95"/>
      <c r="E89" s="95"/>
    </row>
    <row r="90" spans="1:5" x14ac:dyDescent="0.25">
      <c r="A90" s="102" t="s">
        <v>7</v>
      </c>
      <c r="B90" s="99" t="s">
        <v>427</v>
      </c>
      <c r="C90" s="95"/>
      <c r="D90" s="95"/>
      <c r="E90" s="95"/>
    </row>
    <row r="91" spans="1:5" x14ac:dyDescent="0.25">
      <c r="A91" s="112" t="s">
        <v>37</v>
      </c>
      <c r="B91" s="99" t="s">
        <v>428</v>
      </c>
      <c r="C91" s="95"/>
      <c r="D91" s="95"/>
      <c r="E91" s="95"/>
    </row>
    <row r="92" spans="1:5" x14ac:dyDescent="0.25">
      <c r="A92" s="112" t="s">
        <v>111</v>
      </c>
      <c r="B92" s="99" t="s">
        <v>429</v>
      </c>
      <c r="C92" s="95"/>
      <c r="D92" s="95"/>
      <c r="E92" s="95"/>
    </row>
    <row r="93" spans="1:5" x14ac:dyDescent="0.25">
      <c r="A93" s="112" t="s">
        <v>214</v>
      </c>
      <c r="B93" s="99" t="s">
        <v>430</v>
      </c>
      <c r="C93" s="95"/>
      <c r="D93" s="95"/>
      <c r="E93" s="95"/>
    </row>
    <row r="94" spans="1:5" x14ac:dyDescent="0.25">
      <c r="A94" s="112" t="s">
        <v>115</v>
      </c>
      <c r="B94" s="99" t="s">
        <v>431</v>
      </c>
      <c r="C94" s="95"/>
      <c r="D94" s="95"/>
      <c r="E94" s="95"/>
    </row>
    <row r="95" spans="1:5" x14ac:dyDescent="0.25">
      <c r="A95" s="114" t="s">
        <v>432</v>
      </c>
      <c r="B95" s="115" t="s">
        <v>433</v>
      </c>
      <c r="C95" s="95"/>
      <c r="D95" s="95"/>
      <c r="E95" s="95"/>
    </row>
    <row r="96" spans="1:5" x14ac:dyDescent="0.25">
      <c r="A96" s="116" t="s">
        <v>434</v>
      </c>
      <c r="B96" s="117" t="s">
        <v>435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436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437</v>
      </c>
      <c r="D100" s="95"/>
      <c r="E100" s="95"/>
    </row>
    <row r="101" spans="1:5" x14ac:dyDescent="0.25">
      <c r="A101" s="102" t="s">
        <v>107</v>
      </c>
      <c r="B101" s="99" t="s">
        <v>438</v>
      </c>
      <c r="C101" s="112">
        <v>1000</v>
      </c>
      <c r="D101" s="95"/>
      <c r="E101" s="95"/>
    </row>
    <row r="102" spans="1:5" x14ac:dyDescent="0.25">
      <c r="A102" s="102" t="s">
        <v>220</v>
      </c>
      <c r="B102" s="99" t="s">
        <v>439</v>
      </c>
      <c r="C102" s="112">
        <v>9996</v>
      </c>
      <c r="D102" s="95"/>
      <c r="E102" s="95"/>
    </row>
    <row r="103" spans="1:5" x14ac:dyDescent="0.25">
      <c r="A103" s="102" t="s">
        <v>221</v>
      </c>
      <c r="B103" s="99" t="s">
        <v>440</v>
      </c>
      <c r="C103" s="112">
        <v>9996</v>
      </c>
      <c r="D103" s="95"/>
      <c r="E103" s="95"/>
    </row>
    <row r="104" spans="1:5" x14ac:dyDescent="0.25">
      <c r="A104" s="102" t="s">
        <v>222</v>
      </c>
      <c r="B104" s="99" t="s">
        <v>441</v>
      </c>
      <c r="C104" s="112">
        <v>9996</v>
      </c>
      <c r="D104" s="95"/>
      <c r="E104" s="95"/>
    </row>
    <row r="105" spans="1:5" x14ac:dyDescent="0.25">
      <c r="A105" s="102" t="s">
        <v>223</v>
      </c>
      <c r="B105" s="99" t="s">
        <v>442</v>
      </c>
      <c r="C105" s="112">
        <v>9996</v>
      </c>
      <c r="D105" s="95"/>
      <c r="E105" s="95"/>
    </row>
    <row r="106" spans="1:5" x14ac:dyDescent="0.25">
      <c r="A106" s="102" t="s">
        <v>224</v>
      </c>
      <c r="B106" s="99" t="s">
        <v>443</v>
      </c>
      <c r="C106" s="112">
        <v>9996</v>
      </c>
      <c r="D106" s="95"/>
      <c r="E106" s="95"/>
    </row>
    <row r="107" spans="1:5" x14ac:dyDescent="0.25">
      <c r="A107" s="102" t="s">
        <v>225</v>
      </c>
      <c r="B107" s="99" t="s">
        <v>444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445</v>
      </c>
      <c r="C108" s="112" t="s">
        <v>446</v>
      </c>
      <c r="D108" s="95"/>
      <c r="E108" s="95"/>
    </row>
    <row r="109" spans="1:5" x14ac:dyDescent="0.25">
      <c r="A109" s="102" t="s">
        <v>229</v>
      </c>
      <c r="B109" s="99" t="s">
        <v>447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448</v>
      </c>
      <c r="C110" s="112">
        <v>9996</v>
      </c>
      <c r="D110" s="95"/>
      <c r="E110" s="95"/>
    </row>
    <row r="111" spans="1:5" x14ac:dyDescent="0.25">
      <c r="A111" s="102" t="s">
        <v>236</v>
      </c>
      <c r="B111" s="99" t="s">
        <v>449</v>
      </c>
      <c r="C111" s="112">
        <v>9998</v>
      </c>
      <c r="D111" s="95"/>
      <c r="E111" s="95"/>
    </row>
    <row r="112" spans="1:5" x14ac:dyDescent="0.25">
      <c r="A112" s="102" t="s">
        <v>237</v>
      </c>
      <c r="B112" s="99" t="s">
        <v>450</v>
      </c>
      <c r="C112" s="112">
        <v>9996</v>
      </c>
      <c r="D112" s="95"/>
      <c r="E112" s="95"/>
    </row>
    <row r="113" spans="1:5" x14ac:dyDescent="0.25">
      <c r="A113" s="102" t="s">
        <v>238</v>
      </c>
      <c r="B113" s="99" t="s">
        <v>451</v>
      </c>
      <c r="C113" s="112">
        <v>9996</v>
      </c>
      <c r="D113" s="95"/>
      <c r="E113" s="95"/>
    </row>
    <row r="114" spans="1:5" x14ac:dyDescent="0.25">
      <c r="A114" s="102" t="s">
        <v>239</v>
      </c>
      <c r="B114" s="99" t="s">
        <v>452</v>
      </c>
      <c r="C114" s="112">
        <v>9996</v>
      </c>
      <c r="D114" s="95"/>
      <c r="E114" s="95"/>
    </row>
    <row r="115" spans="1:5" x14ac:dyDescent="0.25">
      <c r="A115" s="102" t="s">
        <v>240</v>
      </c>
      <c r="B115" s="99" t="s">
        <v>453</v>
      </c>
      <c r="C115" s="112">
        <v>9996</v>
      </c>
      <c r="D115" s="95"/>
      <c r="E115" s="95"/>
    </row>
    <row r="116" spans="1:5" x14ac:dyDescent="0.25">
      <c r="A116" s="102" t="s">
        <v>241</v>
      </c>
      <c r="B116" s="99" t="s">
        <v>454</v>
      </c>
      <c r="C116" s="112">
        <v>9996</v>
      </c>
      <c r="D116" s="95"/>
      <c r="E116" s="95"/>
    </row>
    <row r="117" spans="1:5" x14ac:dyDescent="0.25">
      <c r="A117" s="102" t="s">
        <v>242</v>
      </c>
      <c r="B117" s="99" t="s">
        <v>455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456</v>
      </c>
      <c r="C118" s="112">
        <v>9996</v>
      </c>
      <c r="D118" s="95"/>
      <c r="E118" s="95"/>
    </row>
    <row r="119" spans="1:5" x14ac:dyDescent="0.25">
      <c r="A119" s="102" t="s">
        <v>243</v>
      </c>
      <c r="B119" s="99" t="s">
        <v>457</v>
      </c>
      <c r="C119" s="112" t="s">
        <v>458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347</v>
      </c>
      <c r="C121" s="95"/>
      <c r="D121" s="95"/>
      <c r="E121" s="95"/>
    </row>
    <row r="122" spans="1:5" x14ac:dyDescent="0.25">
      <c r="A122" s="97" t="s">
        <v>150</v>
      </c>
      <c r="B122" s="99" t="s">
        <v>459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460</v>
      </c>
      <c r="C124" s="95"/>
      <c r="D124" s="95"/>
      <c r="E124" s="95"/>
    </row>
    <row r="125" spans="1:5" ht="26.25" x14ac:dyDescent="0.25">
      <c r="A125" s="104" t="s">
        <v>215</v>
      </c>
      <c r="B125" s="99" t="s">
        <v>461</v>
      </c>
      <c r="C125" s="95"/>
      <c r="D125" s="95"/>
      <c r="E125" s="95"/>
    </row>
    <row r="126" spans="1:5" x14ac:dyDescent="0.25">
      <c r="A126" s="102" t="s">
        <v>36</v>
      </c>
      <c r="B126" s="99" t="s">
        <v>462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349</v>
      </c>
      <c r="C128" s="95"/>
      <c r="D128" s="95"/>
      <c r="E128" s="95"/>
    </row>
    <row r="129" spans="1:5" x14ac:dyDescent="0.25">
      <c r="A129" s="97" t="s">
        <v>150</v>
      </c>
      <c r="B129" s="99" t="s">
        <v>463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464</v>
      </c>
      <c r="C131" s="95"/>
      <c r="D131" s="95"/>
      <c r="E131" s="95"/>
    </row>
    <row r="132" spans="1:5" x14ac:dyDescent="0.25">
      <c r="A132" s="102" t="s">
        <v>215</v>
      </c>
      <c r="B132" s="99" t="s">
        <v>465</v>
      </c>
      <c r="C132" s="95"/>
      <c r="D132" s="95"/>
      <c r="E132" s="95"/>
    </row>
    <row r="133" spans="1:5" x14ac:dyDescent="0.25">
      <c r="A133" s="102" t="s">
        <v>36</v>
      </c>
      <c r="B133" s="99" t="s">
        <v>466</v>
      </c>
      <c r="C133" s="95"/>
      <c r="D133" s="95"/>
      <c r="E133" s="95"/>
    </row>
    <row r="134" spans="1:5" x14ac:dyDescent="0.25">
      <c r="A134" s="102" t="s">
        <v>216</v>
      </c>
      <c r="B134" s="99" t="s">
        <v>467</v>
      </c>
      <c r="C134" s="95"/>
      <c r="D134" s="95"/>
      <c r="E134" s="95"/>
    </row>
    <row r="135" spans="1:5" x14ac:dyDescent="0.25">
      <c r="A135" s="102" t="s">
        <v>343</v>
      </c>
      <c r="B135" s="99" t="s">
        <v>468</v>
      </c>
      <c r="C135" s="95"/>
      <c r="D135" s="95"/>
      <c r="E135" s="95"/>
    </row>
    <row r="136" spans="1:5" x14ac:dyDescent="0.25">
      <c r="A136" s="102" t="s">
        <v>99</v>
      </c>
      <c r="B136" s="99" t="s">
        <v>469</v>
      </c>
      <c r="C136" s="95"/>
      <c r="D136" s="95"/>
      <c r="E136" s="95"/>
    </row>
    <row r="137" spans="1:5" x14ac:dyDescent="0.25">
      <c r="A137" s="102" t="s">
        <v>68</v>
      </c>
      <c r="B137" s="99" t="s">
        <v>470</v>
      </c>
      <c r="C137" s="95"/>
      <c r="D137" s="95"/>
      <c r="E137" s="95"/>
    </row>
    <row r="138" spans="1:5" x14ac:dyDescent="0.25">
      <c r="A138" s="102" t="s">
        <v>347</v>
      </c>
      <c r="B138" s="99" t="s">
        <v>471</v>
      </c>
      <c r="C138" s="95"/>
      <c r="D138" s="95"/>
      <c r="E138" s="95"/>
    </row>
    <row r="139" spans="1:5" x14ac:dyDescent="0.25">
      <c r="A139" s="102" t="s">
        <v>349</v>
      </c>
      <c r="B139" s="99" t="s">
        <v>472</v>
      </c>
      <c r="C139" s="95"/>
      <c r="D139" s="95"/>
      <c r="E139" s="95"/>
    </row>
    <row r="140" spans="1:5" x14ac:dyDescent="0.25">
      <c r="A140" s="102" t="s">
        <v>107</v>
      </c>
      <c r="B140" s="99" t="s">
        <v>473</v>
      </c>
      <c r="C140" s="95"/>
      <c r="D140" s="95"/>
      <c r="E140" s="95"/>
    </row>
    <row r="141" spans="1:5" x14ac:dyDescent="0.25">
      <c r="A141" s="102">
        <v>11</v>
      </c>
      <c r="B141" s="99" t="s">
        <v>474</v>
      </c>
      <c r="C141" s="95"/>
      <c r="D141" s="95"/>
      <c r="E141" s="95"/>
    </row>
    <row r="142" spans="1:5" x14ac:dyDescent="0.25">
      <c r="A142" s="102">
        <v>12</v>
      </c>
      <c r="B142" s="99" t="s">
        <v>475</v>
      </c>
      <c r="C142" s="95"/>
      <c r="D142" s="95"/>
      <c r="E142" s="95"/>
    </row>
    <row r="143" spans="1:5" x14ac:dyDescent="0.25">
      <c r="A143" s="119">
        <v>13</v>
      </c>
      <c r="B143" s="120" t="s">
        <v>476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477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478</v>
      </c>
      <c r="C148" s="95"/>
      <c r="D148" s="95"/>
      <c r="E148" s="95"/>
    </row>
    <row r="149" spans="1:5" x14ac:dyDescent="0.25">
      <c r="A149" s="102" t="s">
        <v>215</v>
      </c>
      <c r="B149" s="99" t="s">
        <v>479</v>
      </c>
      <c r="C149" s="95"/>
      <c r="D149" s="95"/>
      <c r="E149" s="95"/>
    </row>
    <row r="150" spans="1:5" x14ac:dyDescent="0.25">
      <c r="A150" s="102" t="s">
        <v>36</v>
      </c>
      <c r="B150" s="99" t="s">
        <v>480</v>
      </c>
      <c r="C150" s="95"/>
      <c r="D150" s="95"/>
      <c r="E150" s="95"/>
    </row>
    <row r="151" spans="1:5" x14ac:dyDescent="0.25">
      <c r="A151" s="102">
        <v>11</v>
      </c>
      <c r="B151" s="99" t="s">
        <v>474</v>
      </c>
      <c r="C151" s="95"/>
      <c r="D151" s="95"/>
      <c r="E151" s="95"/>
    </row>
    <row r="152" spans="1:5" x14ac:dyDescent="0.25">
      <c r="A152" s="102">
        <v>12</v>
      </c>
      <c r="B152" s="99" t="s">
        <v>475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220</v>
      </c>
      <c r="C154" s="95"/>
      <c r="D154" s="95"/>
      <c r="E154" s="95"/>
    </row>
    <row r="155" spans="1:5" x14ac:dyDescent="0.25">
      <c r="A155" s="97" t="s">
        <v>150</v>
      </c>
      <c r="B155" s="99" t="s">
        <v>481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482</v>
      </c>
      <c r="C157" s="95"/>
      <c r="D157" s="95"/>
      <c r="E157" s="95"/>
    </row>
    <row r="158" spans="1:5" x14ac:dyDescent="0.25">
      <c r="A158" s="102" t="s">
        <v>215</v>
      </c>
      <c r="B158" s="99" t="s">
        <v>414</v>
      </c>
      <c r="C158" s="95"/>
      <c r="D158" s="95"/>
      <c r="E158" s="95"/>
    </row>
    <row r="159" spans="1:5" x14ac:dyDescent="0.25">
      <c r="A159" s="102" t="s">
        <v>36</v>
      </c>
      <c r="B159" s="99" t="s">
        <v>416</v>
      </c>
      <c r="C159" s="95"/>
      <c r="D159" s="95"/>
      <c r="E159" s="95"/>
    </row>
    <row r="160" spans="1:5" x14ac:dyDescent="0.25">
      <c r="A160" s="102" t="s">
        <v>216</v>
      </c>
      <c r="B160" s="99" t="s">
        <v>409</v>
      </c>
      <c r="C160" s="95"/>
      <c r="D160" s="95"/>
      <c r="E160" s="95"/>
    </row>
    <row r="161" spans="1:5" x14ac:dyDescent="0.25">
      <c r="A161" s="102" t="s">
        <v>343</v>
      </c>
      <c r="B161" s="99" t="s">
        <v>483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221</v>
      </c>
      <c r="C163" s="95"/>
      <c r="D163" s="95"/>
      <c r="E163" s="95"/>
    </row>
    <row r="164" spans="1:5" x14ac:dyDescent="0.25">
      <c r="A164" s="97" t="s">
        <v>150</v>
      </c>
      <c r="B164" s="99" t="s">
        <v>484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485</v>
      </c>
      <c r="C166" s="95"/>
      <c r="D166" s="95"/>
      <c r="E166" s="95"/>
    </row>
    <row r="167" spans="1:5" x14ac:dyDescent="0.25">
      <c r="A167" s="102" t="s">
        <v>215</v>
      </c>
      <c r="B167" s="99" t="s">
        <v>486</v>
      </c>
      <c r="C167" s="95"/>
      <c r="D167" s="95"/>
      <c r="E167" s="95"/>
    </row>
    <row r="168" spans="1:5" x14ac:dyDescent="0.25">
      <c r="A168" s="102" t="s">
        <v>36</v>
      </c>
      <c r="B168" s="99" t="s">
        <v>487</v>
      </c>
      <c r="C168" s="95"/>
      <c r="D168" s="95"/>
      <c r="E168" s="95"/>
    </row>
    <row r="169" spans="1:5" x14ac:dyDescent="0.25">
      <c r="A169" s="102" t="s">
        <v>216</v>
      </c>
      <c r="B169" s="99" t="s">
        <v>488</v>
      </c>
      <c r="C169" s="95"/>
      <c r="D169" s="95"/>
      <c r="E169" s="95"/>
    </row>
    <row r="170" spans="1:5" x14ac:dyDescent="0.25">
      <c r="A170" s="102" t="s">
        <v>343</v>
      </c>
      <c r="B170" s="99" t="s">
        <v>489</v>
      </c>
      <c r="C170" s="95"/>
      <c r="D170" s="95"/>
      <c r="E170" s="95"/>
    </row>
    <row r="171" spans="1:5" x14ac:dyDescent="0.25">
      <c r="A171" s="102" t="s">
        <v>99</v>
      </c>
      <c r="B171" s="99" t="s">
        <v>490</v>
      </c>
      <c r="C171" s="95"/>
      <c r="D171" s="95"/>
      <c r="E171" s="95"/>
    </row>
    <row r="172" spans="1:5" x14ac:dyDescent="0.25">
      <c r="A172" s="102" t="s">
        <v>68</v>
      </c>
      <c r="B172" s="99" t="s">
        <v>491</v>
      </c>
      <c r="C172" s="95"/>
      <c r="D172" s="95"/>
      <c r="E172" s="95"/>
    </row>
    <row r="173" spans="1:5" x14ac:dyDescent="0.25">
      <c r="A173" s="102" t="s">
        <v>347</v>
      </c>
      <c r="B173" s="99" t="s">
        <v>492</v>
      </c>
      <c r="C173" s="95"/>
      <c r="D173" s="95"/>
      <c r="E173" s="95"/>
    </row>
    <row r="174" spans="1:5" x14ac:dyDescent="0.25">
      <c r="A174" s="102" t="s">
        <v>349</v>
      </c>
      <c r="B174" s="99" t="s">
        <v>493</v>
      </c>
      <c r="C174" s="95"/>
      <c r="D174" s="95"/>
      <c r="E174" s="95"/>
    </row>
    <row r="175" spans="1:5" x14ac:dyDescent="0.25">
      <c r="A175" s="102">
        <v>10</v>
      </c>
      <c r="B175" s="99" t="s">
        <v>494</v>
      </c>
      <c r="C175" s="95"/>
      <c r="D175" s="95"/>
      <c r="E175" s="95"/>
    </row>
    <row r="176" spans="1:5" x14ac:dyDescent="0.25">
      <c r="A176" s="102" t="s">
        <v>256</v>
      </c>
      <c r="B176" s="99" t="s">
        <v>495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222</v>
      </c>
      <c r="C178" s="95"/>
      <c r="D178" s="95"/>
      <c r="E178" s="95"/>
    </row>
    <row r="179" spans="1:5" x14ac:dyDescent="0.25">
      <c r="A179" s="97" t="s">
        <v>150</v>
      </c>
      <c r="B179" s="99" t="s">
        <v>496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32" t="s">
        <v>497</v>
      </c>
      <c r="B181" s="232"/>
      <c r="C181" s="95"/>
      <c r="D181" s="95"/>
      <c r="E181" s="95"/>
    </row>
    <row r="182" spans="1:5" x14ac:dyDescent="0.25">
      <c r="A182" s="229" t="s">
        <v>498</v>
      </c>
      <c r="B182" s="230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223</v>
      </c>
      <c r="C184" s="95"/>
      <c r="D184" s="95"/>
      <c r="E184" s="95"/>
    </row>
    <row r="185" spans="1:5" x14ac:dyDescent="0.25">
      <c r="A185" s="97" t="s">
        <v>150</v>
      </c>
      <c r="B185" s="99" t="s">
        <v>499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395</v>
      </c>
      <c r="B187" s="99" t="s">
        <v>500</v>
      </c>
      <c r="C187" s="95"/>
      <c r="D187" s="95"/>
      <c r="E187" s="95"/>
    </row>
    <row r="188" spans="1:5" x14ac:dyDescent="0.25">
      <c r="A188" s="102" t="s">
        <v>171</v>
      </c>
      <c r="B188" s="99" t="s">
        <v>501</v>
      </c>
      <c r="C188" s="95"/>
      <c r="D188" s="95"/>
      <c r="E188" s="95"/>
    </row>
    <row r="189" spans="1:5" x14ac:dyDescent="0.25">
      <c r="A189" s="102" t="s">
        <v>172</v>
      </c>
      <c r="B189" s="98" t="s">
        <v>502</v>
      </c>
      <c r="C189" s="95"/>
      <c r="D189" s="95"/>
      <c r="E189" s="95"/>
    </row>
    <row r="190" spans="1:5" x14ac:dyDescent="0.25">
      <c r="A190" s="102" t="s">
        <v>173</v>
      </c>
      <c r="B190" s="98" t="s">
        <v>503</v>
      </c>
      <c r="C190" s="95"/>
      <c r="D190" s="95"/>
      <c r="E190" s="95"/>
    </row>
    <row r="191" spans="1:5" x14ac:dyDescent="0.25">
      <c r="A191" s="102" t="s">
        <v>174</v>
      </c>
      <c r="B191" s="98" t="s">
        <v>504</v>
      </c>
      <c r="C191" s="95"/>
      <c r="D191" s="95"/>
      <c r="E191" s="95"/>
    </row>
    <row r="192" spans="1:5" x14ac:dyDescent="0.25">
      <c r="A192" s="102" t="s">
        <v>505</v>
      </c>
      <c r="B192" s="98" t="s">
        <v>506</v>
      </c>
      <c r="C192" s="95"/>
      <c r="D192" s="95"/>
      <c r="E192" s="95"/>
    </row>
    <row r="193" spans="1:5" x14ac:dyDescent="0.25">
      <c r="A193" s="102" t="s">
        <v>175</v>
      </c>
      <c r="B193" s="98" t="s">
        <v>507</v>
      </c>
      <c r="C193" s="95"/>
      <c r="D193" s="95"/>
      <c r="E193" s="95"/>
    </row>
    <row r="194" spans="1:5" x14ac:dyDescent="0.25">
      <c r="A194" s="102" t="s">
        <v>176</v>
      </c>
      <c r="B194" s="98" t="s">
        <v>508</v>
      </c>
      <c r="C194" s="95"/>
      <c r="D194" s="95"/>
      <c r="E194" s="95"/>
    </row>
    <row r="195" spans="1:5" x14ac:dyDescent="0.25">
      <c r="A195" s="102" t="s">
        <v>509</v>
      </c>
      <c r="B195" s="98" t="s">
        <v>510</v>
      </c>
      <c r="C195" s="95"/>
      <c r="D195" s="95"/>
      <c r="E195" s="95"/>
    </row>
    <row r="196" spans="1:5" x14ac:dyDescent="0.25">
      <c r="A196" s="102" t="s">
        <v>511</v>
      </c>
      <c r="B196" s="98" t="s">
        <v>512</v>
      </c>
      <c r="C196" s="95"/>
      <c r="D196" s="95"/>
      <c r="E196" s="95"/>
    </row>
    <row r="197" spans="1:5" x14ac:dyDescent="0.25">
      <c r="A197" s="102" t="s">
        <v>513</v>
      </c>
      <c r="B197" s="98" t="s">
        <v>514</v>
      </c>
      <c r="C197" s="95"/>
      <c r="D197" s="95"/>
      <c r="E197" s="95"/>
    </row>
    <row r="198" spans="1:5" x14ac:dyDescent="0.25">
      <c r="A198" s="102">
        <v>3001</v>
      </c>
      <c r="B198" s="99" t="s">
        <v>515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224</v>
      </c>
      <c r="C200" s="95"/>
      <c r="D200" s="95"/>
      <c r="E200" s="95"/>
    </row>
    <row r="201" spans="1:5" x14ac:dyDescent="0.25">
      <c r="A201" s="97" t="s">
        <v>150</v>
      </c>
      <c r="B201" s="99" t="s">
        <v>516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395</v>
      </c>
      <c r="B203" s="99" t="s">
        <v>517</v>
      </c>
      <c r="C203" s="95"/>
      <c r="D203" s="95"/>
      <c r="E203" s="95"/>
    </row>
    <row r="204" spans="1:5" x14ac:dyDescent="0.25">
      <c r="A204" s="102" t="s">
        <v>172</v>
      </c>
      <c r="B204" s="99" t="s">
        <v>518</v>
      </c>
      <c r="C204" s="95"/>
      <c r="D204" s="95"/>
      <c r="E204" s="95"/>
    </row>
    <row r="205" spans="1:5" x14ac:dyDescent="0.25">
      <c r="A205" s="102" t="s">
        <v>400</v>
      </c>
      <c r="B205" s="99" t="s">
        <v>519</v>
      </c>
      <c r="C205" s="95"/>
      <c r="D205" s="95"/>
      <c r="E205" s="95"/>
    </row>
    <row r="206" spans="1:5" ht="26.25" x14ac:dyDescent="0.25">
      <c r="A206" s="102" t="s">
        <v>175</v>
      </c>
      <c r="B206" s="99" t="s">
        <v>520</v>
      </c>
      <c r="C206" s="95"/>
      <c r="D206" s="95"/>
      <c r="E206" s="95"/>
    </row>
    <row r="207" spans="1:5" ht="26.25" x14ac:dyDescent="0.25">
      <c r="A207" s="102" t="s">
        <v>176</v>
      </c>
      <c r="B207" s="99" t="s">
        <v>521</v>
      </c>
      <c r="C207" s="95"/>
      <c r="D207" s="95"/>
      <c r="E207" s="95"/>
    </row>
    <row r="208" spans="1:5" x14ac:dyDescent="0.25">
      <c r="A208" s="102" t="s">
        <v>509</v>
      </c>
      <c r="B208" s="99" t="s">
        <v>522</v>
      </c>
      <c r="C208" s="95"/>
      <c r="D208" s="95"/>
      <c r="E208" s="95"/>
    </row>
    <row r="209" spans="1:5" x14ac:dyDescent="0.25">
      <c r="A209" s="102" t="s">
        <v>511</v>
      </c>
      <c r="B209" s="99" t="s">
        <v>523</v>
      </c>
      <c r="C209" s="95"/>
      <c r="D209" s="95"/>
      <c r="E209" s="95"/>
    </row>
    <row r="210" spans="1:5" x14ac:dyDescent="0.25">
      <c r="A210" s="102" t="s">
        <v>513</v>
      </c>
      <c r="B210" s="99" t="s">
        <v>524</v>
      </c>
      <c r="C210" s="95"/>
      <c r="D210" s="95"/>
      <c r="E210" s="95"/>
    </row>
    <row r="211" spans="1:5" x14ac:dyDescent="0.25">
      <c r="A211" s="102" t="s">
        <v>525</v>
      </c>
      <c r="B211" s="99" t="s">
        <v>526</v>
      </c>
      <c r="C211" s="95"/>
      <c r="D211" s="95"/>
      <c r="E211" s="95"/>
    </row>
    <row r="212" spans="1:5" x14ac:dyDescent="0.25">
      <c r="A212" s="102">
        <v>2007</v>
      </c>
      <c r="B212" s="99" t="s">
        <v>527</v>
      </c>
      <c r="C212" s="95"/>
      <c r="D212" s="95"/>
      <c r="E212" s="95"/>
    </row>
    <row r="213" spans="1:5" x14ac:dyDescent="0.25">
      <c r="A213" s="102">
        <v>2010</v>
      </c>
      <c r="B213" s="99" t="s">
        <v>528</v>
      </c>
      <c r="C213" s="95"/>
      <c r="D213" s="95"/>
      <c r="E213" s="95"/>
    </row>
    <row r="214" spans="1:5" x14ac:dyDescent="0.25">
      <c r="A214" s="102" t="s">
        <v>529</v>
      </c>
      <c r="B214" s="99" t="s">
        <v>530</v>
      </c>
      <c r="C214" s="95"/>
      <c r="D214" s="95"/>
      <c r="E214" s="95"/>
    </row>
    <row r="215" spans="1:5" x14ac:dyDescent="0.25">
      <c r="A215" s="102" t="s">
        <v>531</v>
      </c>
      <c r="B215" s="99" t="s">
        <v>532</v>
      </c>
      <c r="C215" s="95"/>
      <c r="D215" s="95"/>
      <c r="E215" s="95"/>
    </row>
    <row r="216" spans="1:5" x14ac:dyDescent="0.25">
      <c r="A216" s="102" t="s">
        <v>533</v>
      </c>
      <c r="B216" s="99" t="s">
        <v>534</v>
      </c>
      <c r="C216" s="95"/>
      <c r="D216" s="95"/>
      <c r="E216" s="95"/>
    </row>
    <row r="217" spans="1:5" x14ac:dyDescent="0.25">
      <c r="A217" s="102" t="s">
        <v>535</v>
      </c>
      <c r="B217" s="99" t="s">
        <v>536</v>
      </c>
      <c r="C217" s="95"/>
      <c r="D217" s="95"/>
      <c r="E217" s="95"/>
    </row>
    <row r="218" spans="1:5" x14ac:dyDescent="0.25">
      <c r="A218" s="102" t="s">
        <v>537</v>
      </c>
      <c r="B218" s="99" t="s">
        <v>538</v>
      </c>
      <c r="C218" s="95"/>
      <c r="D218" s="95"/>
      <c r="E218" s="95"/>
    </row>
    <row r="219" spans="1:5" x14ac:dyDescent="0.25">
      <c r="A219" s="102" t="s">
        <v>539</v>
      </c>
      <c r="B219" s="99" t="s">
        <v>540</v>
      </c>
      <c r="C219" s="95"/>
      <c r="D219" s="95"/>
      <c r="E219" s="95"/>
    </row>
    <row r="220" spans="1:5" x14ac:dyDescent="0.25">
      <c r="A220" s="102" t="s">
        <v>541</v>
      </c>
      <c r="B220" s="99" t="s">
        <v>542</v>
      </c>
      <c r="C220" s="95"/>
      <c r="D220" s="95"/>
      <c r="E220" s="95"/>
    </row>
    <row r="221" spans="1:5" x14ac:dyDescent="0.25">
      <c r="A221" s="102" t="s">
        <v>543</v>
      </c>
      <c r="B221" s="99" t="s">
        <v>544</v>
      </c>
      <c r="C221" s="95"/>
      <c r="D221" s="95"/>
      <c r="E221" s="95"/>
    </row>
    <row r="222" spans="1:5" x14ac:dyDescent="0.25">
      <c r="A222" s="102" t="s">
        <v>545</v>
      </c>
      <c r="B222" s="99" t="s">
        <v>546</v>
      </c>
      <c r="C222" s="95"/>
      <c r="D222" s="95"/>
      <c r="E222" s="95"/>
    </row>
    <row r="223" spans="1:5" x14ac:dyDescent="0.25">
      <c r="A223" s="102" t="s">
        <v>547</v>
      </c>
      <c r="B223" s="99" t="s">
        <v>548</v>
      </c>
      <c r="C223" s="95"/>
      <c r="D223" s="95"/>
      <c r="E223" s="95"/>
    </row>
    <row r="224" spans="1:5" x14ac:dyDescent="0.25">
      <c r="A224" s="102" t="s">
        <v>549</v>
      </c>
      <c r="B224" s="99" t="s">
        <v>550</v>
      </c>
      <c r="C224" s="95"/>
      <c r="D224" s="95"/>
      <c r="E224" s="95"/>
    </row>
    <row r="225" spans="1:5" x14ac:dyDescent="0.25">
      <c r="A225" s="102" t="s">
        <v>551</v>
      </c>
      <c r="B225" s="99" t="s">
        <v>552</v>
      </c>
      <c r="C225" s="95"/>
      <c r="D225" s="95"/>
      <c r="E225" s="95"/>
    </row>
    <row r="226" spans="1:5" x14ac:dyDescent="0.25">
      <c r="A226" s="102" t="s">
        <v>553</v>
      </c>
      <c r="B226" s="99" t="s">
        <v>554</v>
      </c>
      <c r="C226" s="95"/>
      <c r="D226" s="95"/>
      <c r="E226" s="95"/>
    </row>
    <row r="227" spans="1:5" x14ac:dyDescent="0.25">
      <c r="A227" s="102" t="s">
        <v>555</v>
      </c>
      <c r="B227" s="99" t="s">
        <v>556</v>
      </c>
      <c r="C227" s="95"/>
      <c r="D227" s="95"/>
      <c r="E227" s="95"/>
    </row>
    <row r="228" spans="1:5" x14ac:dyDescent="0.25">
      <c r="A228" s="102" t="s">
        <v>557</v>
      </c>
      <c r="B228" s="99" t="s">
        <v>558</v>
      </c>
      <c r="C228" s="95"/>
      <c r="D228" s="95"/>
      <c r="E228" s="95"/>
    </row>
    <row r="229" spans="1:5" x14ac:dyDescent="0.25">
      <c r="A229" s="102" t="s">
        <v>559</v>
      </c>
      <c r="B229" s="99" t="s">
        <v>560</v>
      </c>
      <c r="C229" s="95"/>
      <c r="D229" s="95"/>
      <c r="E229" s="95"/>
    </row>
    <row r="230" spans="1:5" x14ac:dyDescent="0.25">
      <c r="A230" s="102" t="s">
        <v>561</v>
      </c>
      <c r="B230" s="99" t="s">
        <v>562</v>
      </c>
      <c r="C230" s="95"/>
      <c r="D230" s="95"/>
      <c r="E230" s="95"/>
    </row>
    <row r="231" spans="1:5" x14ac:dyDescent="0.25">
      <c r="A231" s="102" t="s">
        <v>563</v>
      </c>
      <c r="B231" s="99" t="s">
        <v>564</v>
      </c>
      <c r="C231" s="95"/>
      <c r="D231" s="95"/>
      <c r="E231" s="95"/>
    </row>
    <row r="232" spans="1:5" x14ac:dyDescent="0.25">
      <c r="A232" s="102" t="s">
        <v>565</v>
      </c>
      <c r="B232" s="99" t="s">
        <v>566</v>
      </c>
      <c r="C232" s="95"/>
      <c r="D232" s="95"/>
      <c r="E232" s="95"/>
    </row>
    <row r="233" spans="1:5" x14ac:dyDescent="0.25">
      <c r="A233" s="102" t="s">
        <v>567</v>
      </c>
      <c r="B233" s="99" t="s">
        <v>568</v>
      </c>
      <c r="C233" s="95"/>
      <c r="D233" s="95"/>
      <c r="E233" s="95"/>
    </row>
    <row r="234" spans="1:5" x14ac:dyDescent="0.25">
      <c r="A234" s="102" t="s">
        <v>569</v>
      </c>
      <c r="B234" s="99" t="s">
        <v>570</v>
      </c>
      <c r="C234" s="95"/>
      <c r="D234" s="95"/>
      <c r="E234" s="95"/>
    </row>
    <row r="235" spans="1:5" x14ac:dyDescent="0.25">
      <c r="A235" s="102" t="s">
        <v>571</v>
      </c>
      <c r="B235" s="99" t="s">
        <v>572</v>
      </c>
      <c r="C235" s="95"/>
      <c r="D235" s="95"/>
      <c r="E235" s="95"/>
    </row>
    <row r="236" spans="1:5" x14ac:dyDescent="0.25">
      <c r="A236" s="102" t="s">
        <v>573</v>
      </c>
      <c r="B236" s="99" t="s">
        <v>574</v>
      </c>
      <c r="C236" s="95"/>
      <c r="D236" s="95"/>
      <c r="E236" s="95"/>
    </row>
    <row r="237" spans="1:5" x14ac:dyDescent="0.25">
      <c r="A237" s="102" t="s">
        <v>575</v>
      </c>
      <c r="B237" s="99" t="s">
        <v>576</v>
      </c>
      <c r="C237" s="95"/>
      <c r="D237" s="95"/>
      <c r="E237" s="95"/>
    </row>
    <row r="238" spans="1:5" x14ac:dyDescent="0.25">
      <c r="A238" s="102" t="s">
        <v>577</v>
      </c>
      <c r="B238" s="99" t="s">
        <v>578</v>
      </c>
      <c r="C238" s="95"/>
      <c r="D238" s="95"/>
      <c r="E238" s="95"/>
    </row>
    <row r="239" spans="1:5" x14ac:dyDescent="0.25">
      <c r="A239" s="102" t="s">
        <v>579</v>
      </c>
      <c r="B239" s="99" t="s">
        <v>580</v>
      </c>
      <c r="C239" s="95"/>
      <c r="D239" s="95"/>
      <c r="E239" s="95"/>
    </row>
    <row r="240" spans="1:5" x14ac:dyDescent="0.25">
      <c r="A240" s="102" t="s">
        <v>581</v>
      </c>
      <c r="B240" s="99" t="s">
        <v>582</v>
      </c>
      <c r="C240" s="95"/>
      <c r="D240" s="95"/>
      <c r="E240" s="95"/>
    </row>
    <row r="241" spans="1:5" x14ac:dyDescent="0.25">
      <c r="A241" s="102" t="s">
        <v>583</v>
      </c>
      <c r="B241" s="99" t="s">
        <v>584</v>
      </c>
      <c r="C241" s="95"/>
      <c r="D241" s="95"/>
      <c r="E241" s="95"/>
    </row>
    <row r="242" spans="1:5" x14ac:dyDescent="0.25">
      <c r="A242" s="102" t="s">
        <v>585</v>
      </c>
      <c r="B242" s="99" t="s">
        <v>586</v>
      </c>
      <c r="C242" s="95"/>
      <c r="D242" s="95"/>
      <c r="E242" s="95"/>
    </row>
    <row r="243" spans="1:5" x14ac:dyDescent="0.25">
      <c r="A243" s="102" t="s">
        <v>587</v>
      </c>
      <c r="B243" s="99" t="s">
        <v>588</v>
      </c>
      <c r="C243" s="95"/>
      <c r="D243" s="95"/>
      <c r="E243" s="95"/>
    </row>
    <row r="244" spans="1:5" x14ac:dyDescent="0.25">
      <c r="A244" s="102" t="s">
        <v>589</v>
      </c>
      <c r="B244" s="99" t="s">
        <v>590</v>
      </c>
      <c r="C244" s="95"/>
      <c r="D244" s="95"/>
      <c r="E244" s="95"/>
    </row>
    <row r="245" spans="1:5" x14ac:dyDescent="0.25">
      <c r="A245" s="102" t="s">
        <v>591</v>
      </c>
      <c r="B245" s="99" t="s">
        <v>592</v>
      </c>
      <c r="C245" s="95"/>
      <c r="D245" s="95"/>
      <c r="E245" s="95"/>
    </row>
    <row r="246" spans="1:5" x14ac:dyDescent="0.25">
      <c r="A246" s="102">
        <v>7000</v>
      </c>
      <c r="B246" s="99" t="s">
        <v>593</v>
      </c>
      <c r="C246" s="95"/>
      <c r="D246" s="95"/>
      <c r="E246" s="95"/>
    </row>
    <row r="247" spans="1:5" x14ac:dyDescent="0.25">
      <c r="A247" s="102">
        <v>7001</v>
      </c>
      <c r="B247" s="99" t="s">
        <v>594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225</v>
      </c>
      <c r="C249" s="95"/>
      <c r="D249" s="95"/>
      <c r="E249" s="95"/>
    </row>
    <row r="250" spans="1:5" x14ac:dyDescent="0.25">
      <c r="A250" s="97" t="s">
        <v>150</v>
      </c>
      <c r="B250" s="99" t="s">
        <v>595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596</v>
      </c>
      <c r="C252" s="95"/>
      <c r="D252" s="95"/>
      <c r="E252" s="95"/>
    </row>
    <row r="253" spans="1:5" x14ac:dyDescent="0.25">
      <c r="A253" s="102" t="s">
        <v>215</v>
      </c>
      <c r="B253" s="99" t="s">
        <v>597</v>
      </c>
      <c r="C253" s="95"/>
      <c r="D253" s="95"/>
      <c r="E253" s="95"/>
    </row>
    <row r="254" spans="1:5" x14ac:dyDescent="0.25">
      <c r="A254" s="125" t="s">
        <v>36</v>
      </c>
      <c r="B254" s="126" t="s">
        <v>598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226</v>
      </c>
      <c r="C256" s="95"/>
      <c r="D256" s="95"/>
      <c r="E256" s="95"/>
    </row>
    <row r="257" spans="1:5" x14ac:dyDescent="0.25">
      <c r="A257" s="97" t="s">
        <v>150</v>
      </c>
      <c r="B257" s="99" t="s">
        <v>599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600</v>
      </c>
      <c r="C259" s="95"/>
      <c r="D259" s="95"/>
      <c r="E259" s="95"/>
    </row>
    <row r="260" spans="1:5" x14ac:dyDescent="0.25">
      <c r="A260" s="127" t="s">
        <v>215</v>
      </c>
      <c r="B260" s="129" t="s">
        <v>601</v>
      </c>
      <c r="C260" s="95"/>
      <c r="D260" s="95"/>
      <c r="E260" s="95"/>
    </row>
    <row r="261" spans="1:5" x14ac:dyDescent="0.25">
      <c r="A261" s="127" t="s">
        <v>36</v>
      </c>
      <c r="B261" s="128" t="s">
        <v>602</v>
      </c>
      <c r="C261" s="95"/>
      <c r="D261" s="95"/>
      <c r="E261" s="95"/>
    </row>
    <row r="262" spans="1:5" x14ac:dyDescent="0.25">
      <c r="A262" s="127" t="s">
        <v>216</v>
      </c>
      <c r="B262" s="128" t="s">
        <v>603</v>
      </c>
      <c r="C262" s="95"/>
      <c r="D262" s="95"/>
      <c r="E262" s="95"/>
    </row>
    <row r="263" spans="1:5" x14ac:dyDescent="0.25">
      <c r="A263" s="127" t="s">
        <v>343</v>
      </c>
      <c r="B263" s="128" t="s">
        <v>604</v>
      </c>
      <c r="C263" s="95"/>
      <c r="D263" s="95"/>
      <c r="E263" s="95"/>
    </row>
    <row r="264" spans="1:5" x14ac:dyDescent="0.25">
      <c r="A264" s="127" t="s">
        <v>99</v>
      </c>
      <c r="B264" s="128" t="s">
        <v>605</v>
      </c>
      <c r="C264" s="95"/>
      <c r="D264" s="95"/>
      <c r="E264" s="95"/>
    </row>
    <row r="265" spans="1:5" x14ac:dyDescent="0.25">
      <c r="A265" s="127" t="s">
        <v>68</v>
      </c>
      <c r="B265" s="128" t="s">
        <v>606</v>
      </c>
      <c r="C265" s="95"/>
      <c r="D265" s="95"/>
      <c r="E265" s="95"/>
    </row>
    <row r="266" spans="1:5" x14ac:dyDescent="0.25">
      <c r="A266" s="127" t="s">
        <v>347</v>
      </c>
      <c r="B266" s="128" t="s">
        <v>607</v>
      </c>
      <c r="C266" s="95"/>
      <c r="D266" s="95"/>
      <c r="E266" s="95"/>
    </row>
    <row r="267" spans="1:5" x14ac:dyDescent="0.25">
      <c r="A267" s="127" t="s">
        <v>107</v>
      </c>
      <c r="B267" s="128" t="s">
        <v>608</v>
      </c>
      <c r="C267" s="95"/>
      <c r="D267" s="95"/>
      <c r="E267" s="95"/>
    </row>
    <row r="268" spans="1:5" x14ac:dyDescent="0.25">
      <c r="A268" s="127" t="s">
        <v>220</v>
      </c>
      <c r="B268" s="128" t="s">
        <v>609</v>
      </c>
      <c r="C268" s="95"/>
      <c r="D268" s="95"/>
      <c r="E268" s="95"/>
    </row>
    <row r="269" spans="1:5" x14ac:dyDescent="0.25">
      <c r="A269" s="127">
        <v>12</v>
      </c>
      <c r="B269" s="129" t="s">
        <v>610</v>
      </c>
      <c r="C269" s="95"/>
      <c r="D269" s="95"/>
      <c r="E269" s="95"/>
    </row>
    <row r="270" spans="1:5" x14ac:dyDescent="0.25">
      <c r="A270" s="127">
        <v>13</v>
      </c>
      <c r="B270" s="129" t="s">
        <v>611</v>
      </c>
      <c r="C270" s="95"/>
      <c r="D270" s="95"/>
      <c r="E270" s="95"/>
    </row>
    <row r="271" spans="1:5" x14ac:dyDescent="0.25">
      <c r="A271" s="127">
        <v>14</v>
      </c>
      <c r="B271" s="130" t="s">
        <v>612</v>
      </c>
      <c r="C271" s="95"/>
      <c r="D271" s="95"/>
      <c r="E271" s="95"/>
    </row>
    <row r="272" spans="1:5" x14ac:dyDescent="0.25">
      <c r="A272" s="127">
        <v>15</v>
      </c>
      <c r="B272" s="130" t="s">
        <v>613</v>
      </c>
      <c r="C272" s="95"/>
      <c r="D272" s="95"/>
      <c r="E272" s="95"/>
    </row>
    <row r="273" spans="1:5" x14ac:dyDescent="0.25">
      <c r="A273" s="127">
        <v>16</v>
      </c>
      <c r="B273" s="131" t="s">
        <v>614</v>
      </c>
      <c r="C273" s="95"/>
      <c r="D273" s="95"/>
      <c r="E273" s="95"/>
    </row>
    <row r="274" spans="1:5" x14ac:dyDescent="0.25">
      <c r="A274" s="127">
        <v>17</v>
      </c>
      <c r="B274" s="131" t="s">
        <v>615</v>
      </c>
      <c r="C274" s="95"/>
      <c r="D274" s="95"/>
      <c r="E274" s="95"/>
    </row>
    <row r="275" spans="1:5" x14ac:dyDescent="0.25">
      <c r="A275" s="127">
        <v>18</v>
      </c>
      <c r="B275" s="131" t="s">
        <v>616</v>
      </c>
      <c r="C275" s="95"/>
      <c r="D275" s="95"/>
      <c r="E275" s="95"/>
    </row>
    <row r="276" spans="1:5" x14ac:dyDescent="0.25">
      <c r="A276" s="127">
        <v>19</v>
      </c>
      <c r="B276" s="131" t="s">
        <v>617</v>
      </c>
      <c r="C276" s="95"/>
      <c r="D276" s="95"/>
      <c r="E276" s="95"/>
    </row>
    <row r="277" spans="1:5" ht="25.5" x14ac:dyDescent="0.25">
      <c r="A277" s="127">
        <v>20</v>
      </c>
      <c r="B277" s="132" t="s">
        <v>618</v>
      </c>
      <c r="C277" s="95"/>
      <c r="D277" s="95"/>
      <c r="E277" s="95"/>
    </row>
    <row r="278" spans="1:5" x14ac:dyDescent="0.25">
      <c r="A278" s="127">
        <v>21</v>
      </c>
      <c r="B278" s="131" t="s">
        <v>619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227</v>
      </c>
      <c r="C280" s="95"/>
      <c r="D280" s="95"/>
      <c r="E280" s="95"/>
    </row>
    <row r="281" spans="1:5" x14ac:dyDescent="0.25">
      <c r="A281" s="97" t="s">
        <v>150</v>
      </c>
      <c r="B281" s="99" t="s">
        <v>620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621</v>
      </c>
      <c r="C283" s="95"/>
      <c r="D283" s="95"/>
      <c r="E283" s="95"/>
    </row>
    <row r="284" spans="1:5" x14ac:dyDescent="0.25">
      <c r="A284" s="102" t="s">
        <v>215</v>
      </c>
      <c r="B284" s="99" t="s">
        <v>622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228</v>
      </c>
      <c r="C286" s="95"/>
      <c r="D286" s="95"/>
      <c r="E286" s="95"/>
    </row>
    <row r="287" spans="1:5" x14ac:dyDescent="0.25">
      <c r="A287" s="97" t="s">
        <v>150</v>
      </c>
      <c r="B287" s="99" t="s">
        <v>623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624</v>
      </c>
      <c r="C289" s="95"/>
      <c r="D289" s="95"/>
      <c r="E289" s="95"/>
    </row>
    <row r="290" spans="1:5" x14ac:dyDescent="0.25">
      <c r="A290" s="102" t="s">
        <v>103</v>
      </c>
      <c r="B290" s="99" t="s">
        <v>625</v>
      </c>
      <c r="C290" s="95"/>
      <c r="D290" s="95"/>
      <c r="E290" s="95"/>
    </row>
    <row r="291" spans="1:5" x14ac:dyDescent="0.25">
      <c r="A291" s="102">
        <v>3</v>
      </c>
      <c r="B291" s="99" t="s">
        <v>626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229</v>
      </c>
      <c r="C293" s="95"/>
      <c r="D293" s="95"/>
      <c r="E293" s="95"/>
    </row>
    <row r="294" spans="1:5" x14ac:dyDescent="0.25">
      <c r="A294" s="97" t="s">
        <v>150</v>
      </c>
      <c r="B294" s="99" t="s">
        <v>627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628</v>
      </c>
      <c r="C296" s="95"/>
      <c r="D296" s="95"/>
      <c r="E296" s="95"/>
    </row>
    <row r="297" spans="1:5" x14ac:dyDescent="0.25">
      <c r="A297" s="102" t="s">
        <v>215</v>
      </c>
      <c r="B297" s="133" t="s">
        <v>629</v>
      </c>
      <c r="C297" s="95"/>
      <c r="D297" s="95"/>
      <c r="E297" s="95"/>
    </row>
    <row r="298" spans="1:5" x14ac:dyDescent="0.25">
      <c r="A298" s="102" t="s">
        <v>36</v>
      </c>
      <c r="B298" s="133" t="s">
        <v>630</v>
      </c>
      <c r="C298" s="95"/>
      <c r="D298" s="95"/>
      <c r="E298" s="95"/>
    </row>
    <row r="299" spans="1:5" x14ac:dyDescent="0.25">
      <c r="A299" s="102" t="s">
        <v>216</v>
      </c>
      <c r="B299" s="133" t="s">
        <v>631</v>
      </c>
      <c r="C299" s="95"/>
      <c r="D299" s="95"/>
      <c r="E299" s="95"/>
    </row>
    <row r="300" spans="1:5" x14ac:dyDescent="0.25">
      <c r="A300" s="102" t="s">
        <v>343</v>
      </c>
      <c r="B300" s="133" t="s">
        <v>632</v>
      </c>
      <c r="C300" s="95"/>
      <c r="D300" s="95"/>
      <c r="E300" s="95"/>
    </row>
    <row r="301" spans="1:5" x14ac:dyDescent="0.25">
      <c r="A301" s="102" t="s">
        <v>99</v>
      </c>
      <c r="B301" s="133" t="s">
        <v>633</v>
      </c>
      <c r="C301" s="95"/>
      <c r="D301" s="95"/>
      <c r="E301" s="95"/>
    </row>
    <row r="302" spans="1:5" x14ac:dyDescent="0.25">
      <c r="A302" s="102" t="s">
        <v>68</v>
      </c>
      <c r="B302" s="133" t="s">
        <v>634</v>
      </c>
      <c r="C302" s="95"/>
      <c r="D302" s="95"/>
      <c r="E302" s="95"/>
    </row>
    <row r="303" spans="1:5" x14ac:dyDescent="0.25">
      <c r="A303" s="102" t="s">
        <v>347</v>
      </c>
      <c r="B303" s="133" t="s">
        <v>635</v>
      </c>
      <c r="C303" s="95"/>
      <c r="D303" s="95"/>
      <c r="E303" s="95"/>
    </row>
    <row r="304" spans="1:5" x14ac:dyDescent="0.25">
      <c r="A304" s="102" t="s">
        <v>349</v>
      </c>
      <c r="B304" s="133" t="s">
        <v>409</v>
      </c>
      <c r="C304" s="95"/>
      <c r="D304" s="95"/>
      <c r="E304" s="95"/>
    </row>
    <row r="305" spans="1:5" x14ac:dyDescent="0.25">
      <c r="A305" s="102" t="s">
        <v>222</v>
      </c>
      <c r="B305" s="133" t="s">
        <v>495</v>
      </c>
      <c r="C305" s="95"/>
      <c r="D305" s="95"/>
      <c r="E305" s="95"/>
    </row>
    <row r="306" spans="1:5" x14ac:dyDescent="0.25">
      <c r="A306" s="102" t="s">
        <v>223</v>
      </c>
      <c r="B306" s="133" t="s">
        <v>636</v>
      </c>
      <c r="C306" s="95"/>
      <c r="D306" s="95"/>
      <c r="E306" s="95"/>
    </row>
    <row r="307" spans="1:5" x14ac:dyDescent="0.25">
      <c r="A307" s="127">
        <v>17</v>
      </c>
      <c r="B307" s="133" t="s">
        <v>637</v>
      </c>
      <c r="C307" s="95"/>
      <c r="D307" s="95"/>
      <c r="E307" s="95"/>
    </row>
    <row r="308" spans="1:5" x14ac:dyDescent="0.25">
      <c r="A308" s="102" t="s">
        <v>227</v>
      </c>
      <c r="B308" s="133" t="s">
        <v>638</v>
      </c>
      <c r="C308" s="95"/>
      <c r="D308" s="95"/>
      <c r="E308" s="95"/>
    </row>
    <row r="309" spans="1:5" x14ac:dyDescent="0.25">
      <c r="A309" s="134" t="s">
        <v>228</v>
      </c>
      <c r="B309" s="135" t="s">
        <v>639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230</v>
      </c>
      <c r="C311" s="95"/>
      <c r="D311" s="95"/>
      <c r="E311" s="95"/>
    </row>
    <row r="312" spans="1:5" x14ac:dyDescent="0.25">
      <c r="A312" s="97" t="s">
        <v>150</v>
      </c>
      <c r="B312" s="99" t="s">
        <v>640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641</v>
      </c>
      <c r="C314" s="95"/>
      <c r="D314" s="95"/>
      <c r="E314" s="95"/>
    </row>
    <row r="315" spans="1:5" x14ac:dyDescent="0.25">
      <c r="A315" s="102" t="s">
        <v>215</v>
      </c>
      <c r="B315" s="99" t="s">
        <v>642</v>
      </c>
      <c r="C315" s="95"/>
      <c r="D315" s="95"/>
      <c r="E315" s="95"/>
    </row>
    <row r="316" spans="1:5" x14ac:dyDescent="0.25">
      <c r="A316" s="102" t="s">
        <v>36</v>
      </c>
      <c r="B316" s="99" t="s">
        <v>643</v>
      </c>
      <c r="C316" s="95"/>
      <c r="D316" s="95"/>
      <c r="E316" s="95"/>
    </row>
    <row r="317" spans="1:5" x14ac:dyDescent="0.25">
      <c r="A317" s="102" t="s">
        <v>216</v>
      </c>
      <c r="B317" s="99" t="s">
        <v>644</v>
      </c>
      <c r="C317" s="95"/>
      <c r="D317" s="95"/>
      <c r="E317" s="95"/>
    </row>
    <row r="318" spans="1:5" x14ac:dyDescent="0.25">
      <c r="A318" s="102" t="s">
        <v>343</v>
      </c>
      <c r="B318" s="99" t="s">
        <v>645</v>
      </c>
      <c r="C318" s="95"/>
      <c r="D318" s="95"/>
      <c r="E318" s="95"/>
    </row>
    <row r="319" spans="1:5" x14ac:dyDescent="0.25">
      <c r="A319" s="102" t="s">
        <v>99</v>
      </c>
      <c r="B319" s="99" t="s">
        <v>495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36" t="s">
        <v>231</v>
      </c>
      <c r="C321" s="236"/>
      <c r="D321" s="95"/>
      <c r="E321" s="95"/>
    </row>
    <row r="322" spans="1:5" x14ac:dyDescent="0.25">
      <c r="A322" s="97" t="s">
        <v>150</v>
      </c>
      <c r="B322" s="237" t="s">
        <v>646</v>
      </c>
      <c r="C322" s="237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647</v>
      </c>
      <c r="D323" s="95"/>
      <c r="E323" s="95"/>
    </row>
    <row r="324" spans="1:5" x14ac:dyDescent="0.25">
      <c r="A324" s="102" t="s">
        <v>98</v>
      </c>
      <c r="B324" s="99" t="s">
        <v>648</v>
      </c>
      <c r="C324" s="136">
        <v>2</v>
      </c>
      <c r="D324" s="95"/>
      <c r="E324" s="95"/>
    </row>
    <row r="325" spans="1:5" x14ac:dyDescent="0.25">
      <c r="A325" s="102" t="s">
        <v>215</v>
      </c>
      <c r="B325" s="99" t="s">
        <v>649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650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232</v>
      </c>
      <c r="C329" s="95"/>
      <c r="D329" s="95"/>
      <c r="E329" s="95"/>
    </row>
    <row r="330" spans="1:5" x14ac:dyDescent="0.25">
      <c r="A330" s="97" t="s">
        <v>150</v>
      </c>
      <c r="B330" s="99" t="s">
        <v>651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652</v>
      </c>
      <c r="C332" s="95"/>
      <c r="D332" s="95"/>
      <c r="E332" s="95"/>
    </row>
    <row r="333" spans="1:5" x14ac:dyDescent="0.25">
      <c r="A333" s="102" t="s">
        <v>215</v>
      </c>
      <c r="B333" s="98" t="s">
        <v>653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233</v>
      </c>
      <c r="C336" s="143"/>
      <c r="D336" s="95"/>
      <c r="E336" s="95"/>
    </row>
    <row r="337" spans="1:5" x14ac:dyDescent="0.25">
      <c r="A337" s="141" t="s">
        <v>150</v>
      </c>
      <c r="B337" s="144" t="s">
        <v>654</v>
      </c>
      <c r="C337" s="143"/>
      <c r="D337" s="95"/>
      <c r="E337" s="95"/>
    </row>
    <row r="338" spans="1:5" x14ac:dyDescent="0.25">
      <c r="A338" s="145" t="s">
        <v>655</v>
      </c>
      <c r="B338" s="146" t="s">
        <v>152</v>
      </c>
      <c r="C338" s="146" t="s">
        <v>656</v>
      </c>
      <c r="D338" s="95"/>
      <c r="E338" s="95"/>
    </row>
    <row r="339" spans="1:5" x14ac:dyDescent="0.25">
      <c r="A339" s="147" t="s">
        <v>657</v>
      </c>
      <c r="B339" s="144" t="s">
        <v>658</v>
      </c>
      <c r="C339" s="148" t="s">
        <v>659</v>
      </c>
      <c r="D339" s="95"/>
      <c r="E339" s="95"/>
    </row>
    <row r="340" spans="1:5" x14ac:dyDescent="0.25">
      <c r="A340" s="147" t="s">
        <v>660</v>
      </c>
      <c r="B340" s="144" t="s">
        <v>661</v>
      </c>
      <c r="C340" s="148" t="s">
        <v>659</v>
      </c>
      <c r="D340" s="95"/>
      <c r="E340" s="95"/>
    </row>
    <row r="341" spans="1:5" x14ac:dyDescent="0.25">
      <c r="A341" s="147" t="s">
        <v>662</v>
      </c>
      <c r="B341" s="144" t="s">
        <v>663</v>
      </c>
      <c r="C341" s="148" t="s">
        <v>659</v>
      </c>
      <c r="D341" s="95"/>
      <c r="E341" s="95"/>
    </row>
    <row r="342" spans="1:5" x14ac:dyDescent="0.25">
      <c r="A342" s="147" t="s">
        <v>664</v>
      </c>
      <c r="B342" s="144" t="s">
        <v>665</v>
      </c>
      <c r="C342" s="148" t="s">
        <v>659</v>
      </c>
      <c r="D342" s="95"/>
      <c r="E342" s="95"/>
    </row>
    <row r="343" spans="1:5" x14ac:dyDescent="0.25">
      <c r="A343" s="147" t="s">
        <v>666</v>
      </c>
      <c r="B343" s="144" t="s">
        <v>667</v>
      </c>
      <c r="C343" s="148" t="s">
        <v>659</v>
      </c>
      <c r="D343" s="95"/>
      <c r="E343" s="95"/>
    </row>
    <row r="344" spans="1:5" x14ac:dyDescent="0.25">
      <c r="A344" s="147" t="s">
        <v>668</v>
      </c>
      <c r="B344" s="144" t="s">
        <v>669</v>
      </c>
      <c r="C344" s="148" t="s">
        <v>659</v>
      </c>
      <c r="D344" s="95"/>
      <c r="E344" s="95"/>
    </row>
    <row r="345" spans="1:5" x14ac:dyDescent="0.25">
      <c r="A345" s="147" t="s">
        <v>670</v>
      </c>
      <c r="B345" s="144" t="s">
        <v>671</v>
      </c>
      <c r="C345" s="148" t="s">
        <v>659</v>
      </c>
      <c r="D345" s="95"/>
      <c r="E345" s="95"/>
    </row>
    <row r="346" spans="1:5" x14ac:dyDescent="0.25">
      <c r="A346" s="147" t="s">
        <v>672</v>
      </c>
      <c r="B346" s="144" t="s">
        <v>673</v>
      </c>
      <c r="C346" s="148" t="s">
        <v>659</v>
      </c>
      <c r="D346" s="95"/>
      <c r="E346" s="95"/>
    </row>
    <row r="347" spans="1:5" x14ac:dyDescent="0.25">
      <c r="A347" s="147" t="s">
        <v>674</v>
      </c>
      <c r="B347" s="144" t="s">
        <v>675</v>
      </c>
      <c r="C347" s="148" t="s">
        <v>659</v>
      </c>
      <c r="D347" s="95"/>
      <c r="E347" s="95"/>
    </row>
    <row r="348" spans="1:5" x14ac:dyDescent="0.25">
      <c r="A348" s="147" t="s">
        <v>676</v>
      </c>
      <c r="B348" s="144" t="s">
        <v>677</v>
      </c>
      <c r="C348" s="148" t="s">
        <v>659</v>
      </c>
      <c r="D348" s="95"/>
      <c r="E348" s="95"/>
    </row>
    <row r="349" spans="1:5" x14ac:dyDescent="0.25">
      <c r="A349" s="147" t="s">
        <v>678</v>
      </c>
      <c r="B349" s="144" t="s">
        <v>679</v>
      </c>
      <c r="C349" s="149" t="s">
        <v>659</v>
      </c>
      <c r="D349" s="95"/>
      <c r="E349" s="95"/>
    </row>
    <row r="350" spans="1:5" x14ac:dyDescent="0.25">
      <c r="A350" s="147" t="s">
        <v>680</v>
      </c>
      <c r="B350" s="144" t="s">
        <v>681</v>
      </c>
      <c r="C350" s="149" t="s">
        <v>659</v>
      </c>
      <c r="D350" s="95"/>
      <c r="E350" s="95"/>
    </row>
    <row r="351" spans="1:5" x14ac:dyDescent="0.25">
      <c r="A351" s="147" t="s">
        <v>682</v>
      </c>
      <c r="B351" s="144" t="s">
        <v>683</v>
      </c>
      <c r="C351" s="149" t="s">
        <v>659</v>
      </c>
      <c r="D351" s="95"/>
      <c r="E351" s="95"/>
    </row>
    <row r="352" spans="1:5" x14ac:dyDescent="0.25">
      <c r="A352" s="147" t="s">
        <v>684</v>
      </c>
      <c r="B352" s="144" t="s">
        <v>685</v>
      </c>
      <c r="C352" s="149" t="s">
        <v>659</v>
      </c>
      <c r="D352" s="95"/>
      <c r="E352" s="95"/>
    </row>
    <row r="353" spans="1:5" x14ac:dyDescent="0.25">
      <c r="A353" s="147" t="s">
        <v>686</v>
      </c>
      <c r="B353" s="144" t="s">
        <v>687</v>
      </c>
      <c r="C353" s="149" t="s">
        <v>659</v>
      </c>
      <c r="D353" s="95"/>
      <c r="E353" s="95"/>
    </row>
    <row r="354" spans="1:5" x14ac:dyDescent="0.25">
      <c r="A354" s="147" t="s">
        <v>688</v>
      </c>
      <c r="B354" s="144" t="s">
        <v>689</v>
      </c>
      <c r="C354" s="149" t="s">
        <v>659</v>
      </c>
      <c r="D354" s="95"/>
      <c r="E354" s="95"/>
    </row>
    <row r="355" spans="1:5" x14ac:dyDescent="0.25">
      <c r="A355" s="147" t="s">
        <v>690</v>
      </c>
      <c r="B355" s="144" t="s">
        <v>691</v>
      </c>
      <c r="C355" s="149" t="s">
        <v>659</v>
      </c>
      <c r="D355" s="95"/>
      <c r="E355" s="95"/>
    </row>
    <row r="356" spans="1:5" x14ac:dyDescent="0.25">
      <c r="A356" s="147" t="s">
        <v>692</v>
      </c>
      <c r="B356" s="144" t="s">
        <v>693</v>
      </c>
      <c r="C356" s="149" t="s">
        <v>659</v>
      </c>
      <c r="D356" s="95"/>
      <c r="E356" s="95"/>
    </row>
    <row r="357" spans="1:5" x14ac:dyDescent="0.25">
      <c r="A357" s="147" t="s">
        <v>694</v>
      </c>
      <c r="B357" s="144" t="s">
        <v>695</v>
      </c>
      <c r="C357" s="149" t="s">
        <v>659</v>
      </c>
      <c r="D357" s="95"/>
      <c r="E357" s="95"/>
    </row>
    <row r="358" spans="1:5" x14ac:dyDescent="0.25">
      <c r="A358" s="147" t="s">
        <v>696</v>
      </c>
      <c r="B358" s="144" t="s">
        <v>697</v>
      </c>
      <c r="C358" s="149" t="s">
        <v>659</v>
      </c>
      <c r="D358" s="95"/>
      <c r="E358" s="95"/>
    </row>
    <row r="359" spans="1:5" x14ac:dyDescent="0.25">
      <c r="A359" s="147" t="s">
        <v>698</v>
      </c>
      <c r="B359" s="144" t="s">
        <v>699</v>
      </c>
      <c r="C359" s="149" t="s">
        <v>659</v>
      </c>
      <c r="D359" s="95"/>
      <c r="E359" s="95"/>
    </row>
    <row r="360" spans="1:5" x14ac:dyDescent="0.25">
      <c r="A360" s="147" t="s">
        <v>700</v>
      </c>
      <c r="B360" s="144" t="s">
        <v>701</v>
      </c>
      <c r="C360" s="149" t="s">
        <v>702</v>
      </c>
      <c r="D360" s="95"/>
      <c r="E360" s="95"/>
    </row>
    <row r="361" spans="1:5" x14ac:dyDescent="0.25">
      <c r="A361" s="147" t="s">
        <v>703</v>
      </c>
      <c r="B361" s="144" t="s">
        <v>704</v>
      </c>
      <c r="C361" s="149" t="s">
        <v>702</v>
      </c>
      <c r="D361" s="95"/>
      <c r="E361" s="95"/>
    </row>
    <row r="362" spans="1:5" x14ac:dyDescent="0.25">
      <c r="A362" s="147" t="s">
        <v>705</v>
      </c>
      <c r="B362" s="144" t="s">
        <v>706</v>
      </c>
      <c r="C362" s="149" t="s">
        <v>702</v>
      </c>
      <c r="D362" s="95"/>
      <c r="E362" s="95"/>
    </row>
    <row r="363" spans="1:5" x14ac:dyDescent="0.25">
      <c r="A363" s="147" t="s">
        <v>707</v>
      </c>
      <c r="B363" s="144" t="s">
        <v>708</v>
      </c>
      <c r="C363" s="149" t="s">
        <v>702</v>
      </c>
      <c r="D363" s="95"/>
      <c r="E363" s="95"/>
    </row>
    <row r="364" spans="1:5" x14ac:dyDescent="0.25">
      <c r="A364" s="147" t="s">
        <v>709</v>
      </c>
      <c r="B364" s="144" t="s">
        <v>710</v>
      </c>
      <c r="C364" s="149" t="s">
        <v>702</v>
      </c>
      <c r="D364" s="95"/>
      <c r="E364" s="95"/>
    </row>
    <row r="365" spans="1:5" x14ac:dyDescent="0.25">
      <c r="A365" s="147" t="s">
        <v>711</v>
      </c>
      <c r="B365" s="144" t="s">
        <v>712</v>
      </c>
      <c r="C365" s="149" t="s">
        <v>702</v>
      </c>
      <c r="D365" s="95"/>
      <c r="E365" s="95"/>
    </row>
    <row r="366" spans="1:5" x14ac:dyDescent="0.25">
      <c r="A366" s="147" t="s">
        <v>713</v>
      </c>
      <c r="B366" s="144" t="s">
        <v>714</v>
      </c>
      <c r="C366" s="149" t="s">
        <v>702</v>
      </c>
      <c r="D366" s="95"/>
      <c r="E366" s="95"/>
    </row>
    <row r="367" spans="1:5" x14ac:dyDescent="0.25">
      <c r="A367" s="147" t="s">
        <v>715</v>
      </c>
      <c r="B367" s="150" t="s">
        <v>716</v>
      </c>
      <c r="C367" s="147" t="s">
        <v>717</v>
      </c>
      <c r="D367" s="95"/>
      <c r="E367" s="95"/>
    </row>
    <row r="368" spans="1:5" x14ac:dyDescent="0.25">
      <c r="A368" s="147" t="s">
        <v>718</v>
      </c>
      <c r="B368" s="150" t="s">
        <v>719</v>
      </c>
      <c r="C368" s="147" t="s">
        <v>717</v>
      </c>
      <c r="D368" s="95"/>
      <c r="E368" s="95"/>
    </row>
    <row r="369" spans="1:5" x14ac:dyDescent="0.25">
      <c r="A369" s="147" t="s">
        <v>720</v>
      </c>
      <c r="B369" s="150" t="s">
        <v>721</v>
      </c>
      <c r="C369" s="147" t="s">
        <v>717</v>
      </c>
      <c r="D369" s="95"/>
      <c r="E369" s="95"/>
    </row>
    <row r="370" spans="1:5" x14ac:dyDescent="0.25">
      <c r="A370" s="147" t="s">
        <v>722</v>
      </c>
      <c r="B370" s="150" t="s">
        <v>723</v>
      </c>
      <c r="C370" s="147" t="s">
        <v>717</v>
      </c>
      <c r="D370" s="95"/>
      <c r="E370" s="95"/>
    </row>
    <row r="371" spans="1:5" x14ac:dyDescent="0.25">
      <c r="A371" s="147" t="s">
        <v>724</v>
      </c>
      <c r="B371" s="150" t="s">
        <v>725</v>
      </c>
      <c r="C371" s="147" t="s">
        <v>717</v>
      </c>
      <c r="D371" s="95"/>
      <c r="E371" s="95"/>
    </row>
    <row r="372" spans="1:5" x14ac:dyDescent="0.25">
      <c r="A372" s="147" t="s">
        <v>726</v>
      </c>
      <c r="B372" s="150" t="s">
        <v>727</v>
      </c>
      <c r="C372" s="147" t="s">
        <v>717</v>
      </c>
      <c r="D372" s="95"/>
      <c r="E372" s="95"/>
    </row>
    <row r="373" spans="1:5" x14ac:dyDescent="0.25">
      <c r="A373" s="147" t="s">
        <v>728</v>
      </c>
      <c r="B373" s="144" t="s">
        <v>729</v>
      </c>
      <c r="C373" s="147" t="s">
        <v>717</v>
      </c>
      <c r="D373" s="95"/>
      <c r="E373" s="95"/>
    </row>
    <row r="374" spans="1:5" x14ac:dyDescent="0.25">
      <c r="A374" s="147" t="s">
        <v>730</v>
      </c>
      <c r="B374" s="144" t="s">
        <v>731</v>
      </c>
      <c r="C374" s="147" t="s">
        <v>717</v>
      </c>
      <c r="D374" s="95"/>
      <c r="E374" s="95"/>
    </row>
    <row r="375" spans="1:5" x14ac:dyDescent="0.25">
      <c r="A375" s="147" t="s">
        <v>732</v>
      </c>
      <c r="B375" s="144" t="s">
        <v>733</v>
      </c>
      <c r="C375" s="147" t="s">
        <v>717</v>
      </c>
      <c r="D375" s="95"/>
      <c r="E375" s="95"/>
    </row>
    <row r="376" spans="1:5" x14ac:dyDescent="0.25">
      <c r="A376" s="147" t="s">
        <v>734</v>
      </c>
      <c r="B376" s="144" t="s">
        <v>735</v>
      </c>
      <c r="C376" s="147" t="s">
        <v>717</v>
      </c>
      <c r="D376" s="95"/>
      <c r="E376" s="95"/>
    </row>
    <row r="377" spans="1:5" x14ac:dyDescent="0.25">
      <c r="A377" s="147" t="s">
        <v>736</v>
      </c>
      <c r="B377" s="144" t="s">
        <v>737</v>
      </c>
      <c r="C377" s="147" t="s">
        <v>717</v>
      </c>
      <c r="D377" s="95"/>
      <c r="E377" s="95"/>
    </row>
    <row r="378" spans="1:5" x14ac:dyDescent="0.25">
      <c r="A378" s="147" t="s">
        <v>738</v>
      </c>
      <c r="B378" s="144" t="s">
        <v>739</v>
      </c>
      <c r="C378" s="147" t="s">
        <v>717</v>
      </c>
      <c r="D378" s="95"/>
      <c r="E378" s="95"/>
    </row>
    <row r="379" spans="1:5" x14ac:dyDescent="0.25">
      <c r="A379" s="147" t="s">
        <v>740</v>
      </c>
      <c r="B379" s="144" t="s">
        <v>741</v>
      </c>
      <c r="C379" s="147" t="s">
        <v>717</v>
      </c>
      <c r="D379" s="95"/>
      <c r="E379" s="95"/>
    </row>
    <row r="380" spans="1:5" x14ac:dyDescent="0.25">
      <c r="A380" s="147" t="s">
        <v>742</v>
      </c>
      <c r="B380" s="144" t="s">
        <v>743</v>
      </c>
      <c r="C380" s="147" t="s">
        <v>717</v>
      </c>
      <c r="D380" s="95"/>
      <c r="E380" s="95"/>
    </row>
    <row r="381" spans="1:5" x14ac:dyDescent="0.25">
      <c r="A381" s="147" t="s">
        <v>744</v>
      </c>
      <c r="B381" s="144" t="s">
        <v>745</v>
      </c>
      <c r="C381" s="147" t="s">
        <v>717</v>
      </c>
      <c r="D381" s="95"/>
      <c r="E381" s="95"/>
    </row>
    <row r="382" spans="1:5" x14ac:dyDescent="0.25">
      <c r="A382" s="147" t="s">
        <v>746</v>
      </c>
      <c r="B382" s="144" t="s">
        <v>747</v>
      </c>
      <c r="C382" s="147" t="s">
        <v>717</v>
      </c>
      <c r="D382" s="95"/>
      <c r="E382" s="95"/>
    </row>
    <row r="383" spans="1:5" x14ac:dyDescent="0.25">
      <c r="A383" s="147" t="s">
        <v>748</v>
      </c>
      <c r="B383" s="144" t="s">
        <v>749</v>
      </c>
      <c r="C383" s="147" t="s">
        <v>717</v>
      </c>
      <c r="D383" s="95"/>
      <c r="E383" s="95"/>
    </row>
    <row r="384" spans="1:5" x14ac:dyDescent="0.25">
      <c r="A384" s="147" t="s">
        <v>750</v>
      </c>
      <c r="B384" s="144" t="s">
        <v>751</v>
      </c>
      <c r="C384" s="147" t="s">
        <v>717</v>
      </c>
      <c r="D384" s="95"/>
      <c r="E384" s="95"/>
    </row>
    <row r="385" spans="1:5" x14ac:dyDescent="0.25">
      <c r="A385" s="147" t="s">
        <v>752</v>
      </c>
      <c r="B385" s="144" t="s">
        <v>753</v>
      </c>
      <c r="C385" s="147" t="s">
        <v>717</v>
      </c>
      <c r="D385" s="95"/>
      <c r="E385" s="95"/>
    </row>
    <row r="386" spans="1:5" x14ac:dyDescent="0.25">
      <c r="A386" s="147" t="s">
        <v>754</v>
      </c>
      <c r="B386" s="144" t="s">
        <v>755</v>
      </c>
      <c r="C386" s="147" t="s">
        <v>717</v>
      </c>
      <c r="D386" s="95"/>
      <c r="E386" s="95"/>
    </row>
    <row r="387" spans="1:5" x14ac:dyDescent="0.25">
      <c r="A387" s="147" t="s">
        <v>756</v>
      </c>
      <c r="B387" s="144" t="s">
        <v>757</v>
      </c>
      <c r="C387" s="147" t="s">
        <v>717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234</v>
      </c>
      <c r="C390" s="95"/>
      <c r="D390" s="95"/>
      <c r="E390" s="95"/>
    </row>
    <row r="391" spans="1:5" x14ac:dyDescent="0.25">
      <c r="A391" s="97" t="s">
        <v>150</v>
      </c>
      <c r="B391" s="99" t="s">
        <v>758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32" t="s">
        <v>759</v>
      </c>
      <c r="B393" s="232"/>
      <c r="C393" s="95"/>
      <c r="D393" s="95"/>
      <c r="E393" s="95"/>
    </row>
    <row r="394" spans="1:5" x14ac:dyDescent="0.25">
      <c r="A394" s="239" t="s">
        <v>760</v>
      </c>
      <c r="B394" s="233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235</v>
      </c>
      <c r="C396" s="95"/>
      <c r="D396" s="95"/>
      <c r="E396" s="95"/>
    </row>
    <row r="397" spans="1:5" x14ac:dyDescent="0.25">
      <c r="A397" s="97" t="s">
        <v>150</v>
      </c>
      <c r="B397" s="99" t="s">
        <v>761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762</v>
      </c>
      <c r="C399" s="95"/>
      <c r="D399" s="95"/>
      <c r="E399" s="95"/>
    </row>
    <row r="400" spans="1:5" x14ac:dyDescent="0.25">
      <c r="A400" s="154">
        <v>1</v>
      </c>
      <c r="B400" s="155" t="s">
        <v>763</v>
      </c>
      <c r="C400" s="95"/>
      <c r="D400" s="95"/>
      <c r="E400" s="95"/>
    </row>
    <row r="401" spans="1:5" ht="26.25" x14ac:dyDescent="0.25">
      <c r="A401" s="154">
        <v>2</v>
      </c>
      <c r="B401" s="156" t="s">
        <v>764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765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766</v>
      </c>
      <c r="C406" s="95"/>
      <c r="D406" s="95"/>
      <c r="E406" s="95"/>
    </row>
    <row r="407" spans="1:5" x14ac:dyDescent="0.25">
      <c r="A407" s="154">
        <v>1</v>
      </c>
      <c r="B407" s="155" t="s">
        <v>767</v>
      </c>
      <c r="C407" s="95"/>
      <c r="D407" s="95"/>
      <c r="E407" s="95"/>
    </row>
    <row r="408" spans="1:5" x14ac:dyDescent="0.25">
      <c r="A408" s="154">
        <v>2</v>
      </c>
      <c r="B408" s="155" t="s">
        <v>768</v>
      </c>
      <c r="C408" s="95"/>
      <c r="D408" s="95"/>
      <c r="E408" s="95"/>
    </row>
    <row r="409" spans="1:5" ht="26.25" x14ac:dyDescent="0.25">
      <c r="A409" s="154">
        <v>3</v>
      </c>
      <c r="B409" s="156" t="s">
        <v>769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770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771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772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773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771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771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340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771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771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340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771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771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771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771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771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771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342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342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342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771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771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771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771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771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771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771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771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771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771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774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517</v>
      </c>
      <c r="C446" s="95"/>
      <c r="D446" s="165"/>
      <c r="E446" s="166"/>
    </row>
    <row r="447" spans="1:5" x14ac:dyDescent="0.25">
      <c r="A447" s="159">
        <v>1002</v>
      </c>
      <c r="B447" s="168" t="s">
        <v>518</v>
      </c>
      <c r="C447" s="95"/>
      <c r="D447" s="95"/>
      <c r="E447" s="95"/>
    </row>
    <row r="448" spans="1:5" x14ac:dyDescent="0.25">
      <c r="A448" s="159">
        <v>2000</v>
      </c>
      <c r="B448" s="168" t="s">
        <v>519</v>
      </c>
      <c r="C448" s="95"/>
      <c r="D448" s="95"/>
      <c r="E448" s="95"/>
    </row>
    <row r="449" spans="1:5" ht="26.25" x14ac:dyDescent="0.25">
      <c r="A449" s="159">
        <v>2001</v>
      </c>
      <c r="B449" s="103" t="s">
        <v>775</v>
      </c>
      <c r="C449" s="95"/>
      <c r="D449" s="95"/>
      <c r="E449" s="95"/>
    </row>
    <row r="450" spans="1:5" ht="26.25" x14ac:dyDescent="0.25">
      <c r="A450" s="159">
        <v>2002</v>
      </c>
      <c r="B450" s="103" t="s">
        <v>521</v>
      </c>
      <c r="C450" s="95"/>
      <c r="D450" s="95"/>
      <c r="E450" s="95"/>
    </row>
    <row r="451" spans="1:5" x14ac:dyDescent="0.25">
      <c r="A451" s="159">
        <v>2003</v>
      </c>
      <c r="B451" s="168" t="s">
        <v>522</v>
      </c>
      <c r="C451" s="95"/>
      <c r="D451" s="95"/>
      <c r="E451" s="95"/>
    </row>
    <row r="452" spans="1:5" x14ac:dyDescent="0.25">
      <c r="A452" s="159">
        <v>2004</v>
      </c>
      <c r="B452" s="168" t="s">
        <v>523</v>
      </c>
      <c r="C452" s="95"/>
      <c r="D452" s="95"/>
      <c r="E452" s="95"/>
    </row>
    <row r="453" spans="1:5" x14ac:dyDescent="0.25">
      <c r="A453" s="159">
        <v>2005</v>
      </c>
      <c r="B453" s="168" t="s">
        <v>524</v>
      </c>
      <c r="C453" s="95"/>
      <c r="D453" s="95"/>
      <c r="E453" s="95"/>
    </row>
    <row r="454" spans="1:5" x14ac:dyDescent="0.25">
      <c r="A454" s="159">
        <v>2006</v>
      </c>
      <c r="B454" s="168" t="s">
        <v>776</v>
      </c>
      <c r="C454" s="95"/>
      <c r="D454" s="95"/>
      <c r="E454" s="95"/>
    </row>
    <row r="455" spans="1:5" x14ac:dyDescent="0.25">
      <c r="A455" s="159" t="s">
        <v>777</v>
      </c>
      <c r="B455" s="168" t="s">
        <v>778</v>
      </c>
      <c r="C455" s="95"/>
      <c r="D455" s="95"/>
      <c r="E455" s="95"/>
    </row>
    <row r="456" spans="1:5" ht="26.25" x14ac:dyDescent="0.25">
      <c r="A456" s="159">
        <v>2008</v>
      </c>
      <c r="B456" s="103" t="s">
        <v>779</v>
      </c>
      <c r="C456" s="95"/>
      <c r="D456" s="95"/>
      <c r="E456" s="95"/>
    </row>
    <row r="457" spans="1:5" ht="26.25" x14ac:dyDescent="0.25">
      <c r="A457" s="159">
        <v>2009</v>
      </c>
      <c r="B457" s="103" t="s">
        <v>780</v>
      </c>
      <c r="C457" s="95"/>
      <c r="D457" s="95"/>
      <c r="E457" s="95"/>
    </row>
    <row r="458" spans="1:5" x14ac:dyDescent="0.25">
      <c r="A458" s="159" t="s">
        <v>781</v>
      </c>
      <c r="B458" s="103" t="s">
        <v>782</v>
      </c>
      <c r="C458" s="95"/>
      <c r="D458" s="95"/>
      <c r="E458" s="95"/>
    </row>
    <row r="459" spans="1:5" x14ac:dyDescent="0.25">
      <c r="A459" s="159" t="s">
        <v>783</v>
      </c>
      <c r="B459" s="103" t="s">
        <v>784</v>
      </c>
      <c r="C459" s="95"/>
      <c r="D459" s="95"/>
      <c r="E459" s="95"/>
    </row>
    <row r="460" spans="1:5" x14ac:dyDescent="0.25">
      <c r="A460" s="169" t="s">
        <v>785</v>
      </c>
      <c r="B460" s="170" t="s">
        <v>786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787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788</v>
      </c>
      <c r="D464" s="95"/>
      <c r="E464" s="95"/>
    </row>
    <row r="465" spans="1:5" x14ac:dyDescent="0.25">
      <c r="A465" s="112" t="s">
        <v>789</v>
      </c>
      <c r="B465" s="99" t="s">
        <v>790</v>
      </c>
      <c r="C465" s="112" t="s">
        <v>791</v>
      </c>
      <c r="D465" s="95"/>
      <c r="E465" s="95"/>
    </row>
    <row r="466" spans="1:5" x14ac:dyDescent="0.25">
      <c r="A466" s="112" t="s">
        <v>98</v>
      </c>
      <c r="B466" s="99" t="s">
        <v>792</v>
      </c>
      <c r="C466" s="112" t="s">
        <v>791</v>
      </c>
      <c r="D466" s="95"/>
      <c r="E466" s="95"/>
    </row>
    <row r="467" spans="1:5" x14ac:dyDescent="0.25">
      <c r="A467" s="112" t="s">
        <v>215</v>
      </c>
      <c r="B467" s="99" t="s">
        <v>793</v>
      </c>
      <c r="C467" s="112" t="s">
        <v>794</v>
      </c>
      <c r="D467" s="95"/>
      <c r="E467" s="95"/>
    </row>
    <row r="468" spans="1:5" x14ac:dyDescent="0.25">
      <c r="A468" s="112" t="s">
        <v>36</v>
      </c>
      <c r="B468" s="99" t="s">
        <v>795</v>
      </c>
      <c r="C468" s="112" t="s">
        <v>794</v>
      </c>
      <c r="D468" s="95"/>
      <c r="E468" s="95"/>
    </row>
    <row r="469" spans="1:5" x14ac:dyDescent="0.25">
      <c r="A469" s="102" t="s">
        <v>216</v>
      </c>
      <c r="B469" s="99" t="s">
        <v>796</v>
      </c>
      <c r="C469" s="112" t="s">
        <v>794</v>
      </c>
      <c r="D469" s="95"/>
      <c r="E469" s="95"/>
    </row>
    <row r="470" spans="1:5" x14ac:dyDescent="0.25">
      <c r="A470" s="102" t="s">
        <v>343</v>
      </c>
      <c r="B470" s="99" t="s">
        <v>797</v>
      </c>
      <c r="C470" s="112" t="s">
        <v>794</v>
      </c>
      <c r="D470" s="95"/>
      <c r="E470" s="95"/>
    </row>
    <row r="471" spans="1:5" x14ac:dyDescent="0.25">
      <c r="A471" s="102" t="s">
        <v>99</v>
      </c>
      <c r="B471" s="99" t="s">
        <v>798</v>
      </c>
      <c r="C471" s="112" t="s">
        <v>794</v>
      </c>
      <c r="D471" s="95"/>
      <c r="E471" s="95"/>
    </row>
    <row r="472" spans="1:5" x14ac:dyDescent="0.25">
      <c r="A472" s="102" t="s">
        <v>68</v>
      </c>
      <c r="B472" s="99" t="s">
        <v>799</v>
      </c>
      <c r="C472" s="112" t="s">
        <v>791</v>
      </c>
      <c r="D472" s="95"/>
      <c r="E472" s="95"/>
    </row>
    <row r="473" spans="1:5" x14ac:dyDescent="0.25">
      <c r="A473" s="112" t="s">
        <v>245</v>
      </c>
      <c r="B473" s="99" t="s">
        <v>800</v>
      </c>
      <c r="C473" s="112" t="s">
        <v>794</v>
      </c>
      <c r="D473" s="95"/>
      <c r="E473" s="95"/>
    </row>
    <row r="474" spans="1:5" x14ac:dyDescent="0.25">
      <c r="A474" s="112" t="s">
        <v>246</v>
      </c>
      <c r="B474" s="99" t="s">
        <v>801</v>
      </c>
      <c r="C474" s="112" t="s">
        <v>794</v>
      </c>
      <c r="D474" s="95"/>
      <c r="E474" s="95"/>
    </row>
    <row r="475" spans="1:5" x14ac:dyDescent="0.25">
      <c r="A475" s="112" t="s">
        <v>247</v>
      </c>
      <c r="B475" s="99" t="s">
        <v>802</v>
      </c>
      <c r="C475" s="112" t="s">
        <v>791</v>
      </c>
      <c r="D475" s="95"/>
      <c r="E475" s="95"/>
    </row>
    <row r="476" spans="1:5" x14ac:dyDescent="0.25">
      <c r="A476" s="112" t="s">
        <v>248</v>
      </c>
      <c r="B476" s="99" t="s">
        <v>803</v>
      </c>
      <c r="C476" s="112" t="s">
        <v>791</v>
      </c>
      <c r="D476" s="95"/>
      <c r="E476" s="95"/>
    </row>
    <row r="477" spans="1:5" x14ac:dyDescent="0.25">
      <c r="A477" s="112" t="s">
        <v>249</v>
      </c>
      <c r="B477" s="99" t="s">
        <v>804</v>
      </c>
      <c r="C477" s="112" t="s">
        <v>794</v>
      </c>
      <c r="D477" s="95"/>
      <c r="E477" s="95"/>
    </row>
    <row r="478" spans="1:5" x14ac:dyDescent="0.25">
      <c r="A478" s="112">
        <v>50</v>
      </c>
      <c r="B478" s="99" t="s">
        <v>805</v>
      </c>
      <c r="C478" s="112" t="s">
        <v>794</v>
      </c>
      <c r="D478" s="95"/>
      <c r="E478" s="95"/>
    </row>
    <row r="479" spans="1:5" x14ac:dyDescent="0.25">
      <c r="A479" s="112">
        <v>51</v>
      </c>
      <c r="B479" s="99" t="s">
        <v>806</v>
      </c>
      <c r="C479" s="112" t="s">
        <v>794</v>
      </c>
      <c r="D479" s="95"/>
      <c r="E479" s="95"/>
    </row>
    <row r="480" spans="1:5" x14ac:dyDescent="0.25">
      <c r="A480" s="171">
        <v>52</v>
      </c>
      <c r="B480" s="99" t="s">
        <v>649</v>
      </c>
      <c r="C480" s="112" t="s">
        <v>794</v>
      </c>
      <c r="D480" s="95"/>
      <c r="E480" s="95"/>
    </row>
    <row r="481" spans="1:5" x14ac:dyDescent="0.25">
      <c r="A481" s="159">
        <v>53</v>
      </c>
      <c r="B481" s="99" t="s">
        <v>650</v>
      </c>
      <c r="C481" s="112" t="s">
        <v>794</v>
      </c>
      <c r="D481" s="95"/>
      <c r="E481" s="95"/>
    </row>
    <row r="482" spans="1:5" x14ac:dyDescent="0.25">
      <c r="A482" s="171" t="s">
        <v>250</v>
      </c>
      <c r="B482" s="99" t="s">
        <v>807</v>
      </c>
      <c r="C482" s="112" t="s">
        <v>791</v>
      </c>
      <c r="D482" s="95"/>
      <c r="E482" s="95"/>
    </row>
    <row r="483" spans="1:5" x14ac:dyDescent="0.25">
      <c r="A483" s="171" t="s">
        <v>252</v>
      </c>
      <c r="B483" s="99" t="s">
        <v>808</v>
      </c>
      <c r="C483" s="112" t="s">
        <v>794</v>
      </c>
      <c r="D483" s="95"/>
      <c r="E483" s="95"/>
    </row>
    <row r="484" spans="1:5" x14ac:dyDescent="0.25">
      <c r="A484" s="172" t="s">
        <v>253</v>
      </c>
      <c r="B484" s="120" t="s">
        <v>809</v>
      </c>
      <c r="C484" s="173" t="s">
        <v>794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810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811</v>
      </c>
      <c r="B489" s="176" t="s">
        <v>812</v>
      </c>
      <c r="C489" s="95"/>
      <c r="D489" s="95"/>
      <c r="E489" s="95"/>
    </row>
    <row r="490" spans="1:5" x14ac:dyDescent="0.25">
      <c r="A490" s="177" t="s">
        <v>813</v>
      </c>
      <c r="B490" s="176" t="s">
        <v>814</v>
      </c>
      <c r="C490" s="95"/>
      <c r="D490" s="95"/>
      <c r="E490" s="95"/>
    </row>
    <row r="491" spans="1:5" x14ac:dyDescent="0.25">
      <c r="A491" s="175" t="s">
        <v>815</v>
      </c>
      <c r="B491" s="176" t="s">
        <v>816</v>
      </c>
      <c r="C491" s="95"/>
      <c r="D491" s="95"/>
      <c r="E491" s="95"/>
    </row>
    <row r="492" spans="1:5" x14ac:dyDescent="0.25">
      <c r="A492" s="175" t="s">
        <v>817</v>
      </c>
      <c r="B492" s="176" t="s">
        <v>818</v>
      </c>
      <c r="C492" s="95"/>
      <c r="D492" s="95"/>
      <c r="E492" s="95"/>
    </row>
    <row r="493" spans="1:5" x14ac:dyDescent="0.25">
      <c r="A493" s="175" t="s">
        <v>819</v>
      </c>
      <c r="B493" s="176" t="s">
        <v>820</v>
      </c>
      <c r="C493" s="95"/>
      <c r="D493" s="95"/>
      <c r="E493" s="95"/>
    </row>
    <row r="494" spans="1:5" x14ac:dyDescent="0.25">
      <c r="A494" s="175" t="s">
        <v>821</v>
      </c>
      <c r="B494" s="176" t="s">
        <v>822</v>
      </c>
      <c r="C494" s="95"/>
      <c r="D494" s="95"/>
      <c r="E494" s="95"/>
    </row>
    <row r="495" spans="1:5" x14ac:dyDescent="0.25">
      <c r="A495" s="175" t="s">
        <v>823</v>
      </c>
      <c r="B495" s="176" t="s">
        <v>824</v>
      </c>
      <c r="C495" s="95"/>
      <c r="D495" s="95"/>
      <c r="E495" s="95"/>
    </row>
    <row r="496" spans="1:5" x14ac:dyDescent="0.25">
      <c r="A496" s="175" t="s">
        <v>825</v>
      </c>
      <c r="B496" s="176" t="s">
        <v>826</v>
      </c>
      <c r="C496" s="95"/>
      <c r="D496" s="95"/>
      <c r="E496" s="95"/>
    </row>
    <row r="497" spans="1:5" x14ac:dyDescent="0.25">
      <c r="A497" s="175" t="s">
        <v>827</v>
      </c>
      <c r="B497" s="176" t="s">
        <v>828</v>
      </c>
      <c r="C497" s="95"/>
      <c r="D497" s="95"/>
      <c r="E497" s="95"/>
    </row>
    <row r="498" spans="1:5" x14ac:dyDescent="0.25">
      <c r="A498" s="177" t="s">
        <v>829</v>
      </c>
      <c r="B498" s="176" t="s">
        <v>830</v>
      </c>
      <c r="C498" s="95"/>
      <c r="D498" s="95"/>
      <c r="E498" s="95"/>
    </row>
    <row r="499" spans="1:5" x14ac:dyDescent="0.25">
      <c r="A499" s="175" t="s">
        <v>831</v>
      </c>
      <c r="B499" s="176" t="s">
        <v>832</v>
      </c>
      <c r="C499" s="95"/>
      <c r="D499" s="95"/>
      <c r="E499" s="95"/>
    </row>
    <row r="500" spans="1:5" x14ac:dyDescent="0.25">
      <c r="A500" s="177" t="s">
        <v>833</v>
      </c>
      <c r="B500" s="176" t="s">
        <v>834</v>
      </c>
      <c r="C500" s="95"/>
      <c r="D500" s="95"/>
      <c r="E500" s="95"/>
    </row>
    <row r="501" spans="1:5" x14ac:dyDescent="0.25">
      <c r="A501" s="175" t="s">
        <v>835</v>
      </c>
      <c r="B501" s="176" t="s">
        <v>836</v>
      </c>
      <c r="C501" s="95"/>
      <c r="D501" s="95"/>
      <c r="E501" s="95"/>
    </row>
    <row r="502" spans="1:5" x14ac:dyDescent="0.25">
      <c r="A502" s="177" t="s">
        <v>837</v>
      </c>
      <c r="B502" s="176" t="s">
        <v>838</v>
      </c>
      <c r="C502" s="95"/>
      <c r="D502" s="95"/>
      <c r="E502" s="95"/>
    </row>
    <row r="503" spans="1:5" x14ac:dyDescent="0.25">
      <c r="A503" s="177" t="s">
        <v>839</v>
      </c>
      <c r="B503" s="176" t="s">
        <v>840</v>
      </c>
      <c r="C503" s="95"/>
      <c r="D503" s="95"/>
      <c r="E503" s="95"/>
    </row>
    <row r="504" spans="1:5" x14ac:dyDescent="0.25">
      <c r="A504" s="175" t="s">
        <v>841</v>
      </c>
      <c r="B504" s="176" t="s">
        <v>842</v>
      </c>
      <c r="C504" s="95"/>
      <c r="D504" s="95"/>
      <c r="E504" s="95"/>
    </row>
    <row r="505" spans="1:5" x14ac:dyDescent="0.25">
      <c r="A505" s="175" t="s">
        <v>843</v>
      </c>
      <c r="B505" s="176" t="s">
        <v>844</v>
      </c>
      <c r="C505" s="95"/>
      <c r="D505" s="95"/>
      <c r="E505" s="95"/>
    </row>
    <row r="506" spans="1:5" x14ac:dyDescent="0.25">
      <c r="A506" s="175" t="s">
        <v>845</v>
      </c>
      <c r="B506" s="176" t="s">
        <v>846</v>
      </c>
      <c r="C506" s="95"/>
      <c r="D506" s="95"/>
      <c r="E506" s="95"/>
    </row>
    <row r="507" spans="1:5" x14ac:dyDescent="0.25">
      <c r="A507" s="175" t="s">
        <v>847</v>
      </c>
      <c r="B507" s="176" t="s">
        <v>848</v>
      </c>
      <c r="C507" s="95"/>
      <c r="D507" s="95"/>
      <c r="E507" s="95"/>
    </row>
    <row r="508" spans="1:5" x14ac:dyDescent="0.25">
      <c r="A508" s="175" t="s">
        <v>261</v>
      </c>
      <c r="B508" s="176" t="s">
        <v>849</v>
      </c>
      <c r="C508" s="95"/>
      <c r="D508" s="95"/>
      <c r="E508" s="95"/>
    </row>
    <row r="509" spans="1:5" x14ac:dyDescent="0.25">
      <c r="A509" s="175" t="s">
        <v>850</v>
      </c>
      <c r="B509" s="176" t="s">
        <v>851</v>
      </c>
      <c r="C509" s="95"/>
      <c r="D509" s="95"/>
      <c r="E509" s="95"/>
    </row>
    <row r="510" spans="1:5" x14ac:dyDescent="0.25">
      <c r="A510" s="175" t="s">
        <v>852</v>
      </c>
      <c r="B510" s="176" t="s">
        <v>853</v>
      </c>
      <c r="C510" s="95"/>
      <c r="D510" s="95"/>
      <c r="E510" s="95"/>
    </row>
    <row r="511" spans="1:5" x14ac:dyDescent="0.25">
      <c r="A511" s="175" t="s">
        <v>854</v>
      </c>
      <c r="B511" s="176" t="s">
        <v>855</v>
      </c>
      <c r="C511" s="95"/>
      <c r="D511" s="95"/>
      <c r="E511" s="95"/>
    </row>
    <row r="512" spans="1:5" x14ac:dyDescent="0.25">
      <c r="A512" s="175" t="s">
        <v>856</v>
      </c>
      <c r="B512" s="176" t="s">
        <v>857</v>
      </c>
      <c r="C512" s="95"/>
      <c r="D512" s="95"/>
      <c r="E512" s="95"/>
    </row>
    <row r="513" spans="1:5" x14ac:dyDescent="0.25">
      <c r="A513" s="175" t="s">
        <v>858</v>
      </c>
      <c r="B513" s="176" t="s">
        <v>859</v>
      </c>
      <c r="C513" s="95"/>
      <c r="D513" s="95"/>
      <c r="E513" s="95"/>
    </row>
    <row r="514" spans="1:5" x14ac:dyDescent="0.25">
      <c r="A514" s="177" t="s">
        <v>860</v>
      </c>
      <c r="B514" s="176" t="s">
        <v>861</v>
      </c>
      <c r="C514" s="95"/>
      <c r="D514" s="95"/>
      <c r="E514" s="95"/>
    </row>
    <row r="515" spans="1:5" x14ac:dyDescent="0.25">
      <c r="A515" s="175" t="s">
        <v>862</v>
      </c>
      <c r="B515" s="176" t="s">
        <v>863</v>
      </c>
      <c r="C515" s="95"/>
      <c r="D515" s="95"/>
      <c r="E515" s="95"/>
    </row>
    <row r="516" spans="1:5" x14ac:dyDescent="0.25">
      <c r="A516" s="175" t="s">
        <v>864</v>
      </c>
      <c r="B516" s="176" t="s">
        <v>865</v>
      </c>
      <c r="C516" s="95"/>
      <c r="D516" s="95"/>
      <c r="E516" s="95"/>
    </row>
    <row r="517" spans="1:5" x14ac:dyDescent="0.25">
      <c r="A517" s="177" t="s">
        <v>866</v>
      </c>
      <c r="B517" s="176" t="s">
        <v>867</v>
      </c>
      <c r="C517" s="95"/>
      <c r="D517" s="95"/>
      <c r="E517" s="95"/>
    </row>
    <row r="518" spans="1:5" x14ac:dyDescent="0.25">
      <c r="A518" s="175" t="s">
        <v>868</v>
      </c>
      <c r="B518" s="176" t="s">
        <v>869</v>
      </c>
      <c r="C518" s="95"/>
      <c r="D518" s="95"/>
      <c r="E518" s="95"/>
    </row>
    <row r="519" spans="1:5" x14ac:dyDescent="0.25">
      <c r="A519" s="175" t="s">
        <v>870</v>
      </c>
      <c r="B519" s="176" t="s">
        <v>871</v>
      </c>
      <c r="C519" s="95"/>
      <c r="D519" s="95"/>
      <c r="E519" s="95"/>
    </row>
    <row r="520" spans="1:5" x14ac:dyDescent="0.25">
      <c r="A520" s="175" t="s">
        <v>872</v>
      </c>
      <c r="B520" s="176" t="s">
        <v>873</v>
      </c>
      <c r="C520" s="95"/>
      <c r="D520" s="95"/>
      <c r="E520" s="95"/>
    </row>
    <row r="521" spans="1:5" x14ac:dyDescent="0.25">
      <c r="A521" s="175" t="s">
        <v>874</v>
      </c>
      <c r="B521" s="176" t="s">
        <v>875</v>
      </c>
      <c r="C521" s="95"/>
      <c r="D521" s="95"/>
      <c r="E521" s="95"/>
    </row>
    <row r="522" spans="1:5" x14ac:dyDescent="0.25">
      <c r="A522" s="175" t="s">
        <v>876</v>
      </c>
      <c r="B522" s="176" t="s">
        <v>877</v>
      </c>
      <c r="C522" s="95"/>
      <c r="D522" s="95"/>
      <c r="E522" s="95"/>
    </row>
    <row r="523" spans="1:5" x14ac:dyDescent="0.25">
      <c r="A523" s="175" t="s">
        <v>878</v>
      </c>
      <c r="B523" s="176" t="s">
        <v>879</v>
      </c>
      <c r="C523" s="95"/>
      <c r="D523" s="95"/>
      <c r="E523" s="95"/>
    </row>
    <row r="524" spans="1:5" x14ac:dyDescent="0.25">
      <c r="A524" s="177" t="s">
        <v>880</v>
      </c>
      <c r="B524" s="176" t="s">
        <v>881</v>
      </c>
      <c r="C524" s="95"/>
      <c r="D524" s="95"/>
      <c r="E524" s="95"/>
    </row>
    <row r="525" spans="1:5" x14ac:dyDescent="0.25">
      <c r="A525" s="177" t="s">
        <v>882</v>
      </c>
      <c r="B525" s="176" t="s">
        <v>883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884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531</v>
      </c>
      <c r="B530" s="168" t="s">
        <v>885</v>
      </c>
      <c r="C530" s="95"/>
      <c r="D530" s="95"/>
      <c r="E530" s="95"/>
    </row>
    <row r="531" spans="1:5" x14ac:dyDescent="0.25">
      <c r="A531" s="159" t="s">
        <v>533</v>
      </c>
      <c r="B531" s="168" t="s">
        <v>886</v>
      </c>
      <c r="C531" s="95"/>
      <c r="D531" s="95"/>
      <c r="E531" s="95"/>
    </row>
    <row r="532" spans="1:5" x14ac:dyDescent="0.25">
      <c r="A532" s="159" t="s">
        <v>535</v>
      </c>
      <c r="B532" s="168" t="s">
        <v>887</v>
      </c>
      <c r="C532" s="95"/>
      <c r="D532" s="95"/>
      <c r="E532" s="95"/>
    </row>
    <row r="533" spans="1:5" x14ac:dyDescent="0.25">
      <c r="A533" s="159" t="s">
        <v>537</v>
      </c>
      <c r="B533" s="168" t="s">
        <v>888</v>
      </c>
      <c r="C533" s="95"/>
      <c r="D533" s="95"/>
      <c r="E533" s="95"/>
    </row>
    <row r="534" spans="1:5" x14ac:dyDescent="0.25">
      <c r="A534" s="159" t="s">
        <v>539</v>
      </c>
      <c r="B534" s="168" t="s">
        <v>889</v>
      </c>
      <c r="C534" s="95"/>
      <c r="D534" s="95"/>
      <c r="E534" s="95"/>
    </row>
    <row r="535" spans="1:5" x14ac:dyDescent="0.25">
      <c r="A535" s="159" t="s">
        <v>541</v>
      </c>
      <c r="B535" s="168" t="s">
        <v>890</v>
      </c>
      <c r="C535" s="95"/>
      <c r="D535" s="95"/>
      <c r="E535" s="95"/>
    </row>
    <row r="536" spans="1:5" x14ac:dyDescent="0.25">
      <c r="A536" s="159" t="s">
        <v>891</v>
      </c>
      <c r="B536" s="168" t="s">
        <v>892</v>
      </c>
      <c r="C536" s="95"/>
      <c r="D536" s="95"/>
      <c r="E536" s="95"/>
    </row>
    <row r="537" spans="1:5" x14ac:dyDescent="0.25">
      <c r="A537" s="159" t="s">
        <v>893</v>
      </c>
      <c r="B537" s="103" t="s">
        <v>894</v>
      </c>
      <c r="C537" s="95"/>
      <c r="D537" s="95"/>
      <c r="E537" s="95"/>
    </row>
    <row r="538" spans="1:5" x14ac:dyDescent="0.25">
      <c r="A538" s="159" t="s">
        <v>895</v>
      </c>
      <c r="B538" s="168" t="s">
        <v>896</v>
      </c>
      <c r="C538" s="95"/>
      <c r="D538" s="95"/>
      <c r="E538" s="95"/>
    </row>
    <row r="539" spans="1:5" x14ac:dyDescent="0.25">
      <c r="A539" s="159" t="s">
        <v>897</v>
      </c>
      <c r="B539" s="168" t="s">
        <v>898</v>
      </c>
      <c r="C539" s="95"/>
      <c r="D539" s="95"/>
      <c r="E539" s="95"/>
    </row>
    <row r="540" spans="1:5" x14ac:dyDescent="0.25">
      <c r="A540" s="159" t="s">
        <v>899</v>
      </c>
      <c r="B540" s="168" t="s">
        <v>900</v>
      </c>
      <c r="C540" s="95"/>
      <c r="D540" s="95"/>
      <c r="E540" s="95"/>
    </row>
    <row r="541" spans="1:5" x14ac:dyDescent="0.25">
      <c r="A541" s="159" t="s">
        <v>901</v>
      </c>
      <c r="B541" s="168" t="s">
        <v>902</v>
      </c>
      <c r="C541" s="95"/>
      <c r="D541" s="95"/>
      <c r="E541" s="95"/>
    </row>
    <row r="542" spans="1:5" x14ac:dyDescent="0.25">
      <c r="A542" s="159" t="s">
        <v>903</v>
      </c>
      <c r="B542" s="168" t="s">
        <v>904</v>
      </c>
      <c r="C542" s="95"/>
      <c r="D542" s="95"/>
      <c r="E542" s="95"/>
    </row>
    <row r="543" spans="1:5" x14ac:dyDescent="0.25">
      <c r="A543" s="159" t="s">
        <v>905</v>
      </c>
      <c r="B543" s="168" t="s">
        <v>906</v>
      </c>
      <c r="C543" s="95"/>
      <c r="D543" s="95"/>
      <c r="E543" s="95"/>
    </row>
    <row r="544" spans="1:5" x14ac:dyDescent="0.25">
      <c r="A544" s="159" t="s">
        <v>907</v>
      </c>
      <c r="B544" s="168" t="s">
        <v>908</v>
      </c>
      <c r="C544" s="95"/>
      <c r="D544" s="95"/>
      <c r="E544" s="95"/>
    </row>
    <row r="545" spans="1:5" x14ac:dyDescent="0.25">
      <c r="A545" s="159" t="s">
        <v>909</v>
      </c>
      <c r="B545" s="168" t="s">
        <v>910</v>
      </c>
      <c r="C545" s="95"/>
      <c r="D545" s="95"/>
      <c r="E545" s="95"/>
    </row>
    <row r="546" spans="1:5" x14ac:dyDescent="0.25">
      <c r="A546" s="159" t="s">
        <v>911</v>
      </c>
      <c r="B546" s="168" t="s">
        <v>912</v>
      </c>
      <c r="C546" s="95"/>
      <c r="D546" s="95"/>
      <c r="E546" s="95"/>
    </row>
    <row r="547" spans="1:5" x14ac:dyDescent="0.25">
      <c r="A547" s="159" t="s">
        <v>551</v>
      </c>
      <c r="B547" s="168" t="s">
        <v>913</v>
      </c>
      <c r="C547" s="95"/>
      <c r="D547" s="95"/>
      <c r="E547" s="95"/>
    </row>
    <row r="548" spans="1:5" x14ac:dyDescent="0.25">
      <c r="A548" s="159" t="s">
        <v>553</v>
      </c>
      <c r="B548" s="168" t="s">
        <v>914</v>
      </c>
      <c r="C548" s="95"/>
      <c r="D548" s="95"/>
      <c r="E548" s="95"/>
    </row>
    <row r="549" spans="1:5" x14ac:dyDescent="0.25">
      <c r="A549" s="159">
        <v>4002</v>
      </c>
      <c r="B549" s="168" t="s">
        <v>915</v>
      </c>
      <c r="C549" s="95"/>
      <c r="D549" s="95"/>
      <c r="E549" s="95"/>
    </row>
    <row r="550" spans="1:5" x14ac:dyDescent="0.25">
      <c r="A550" s="159">
        <v>4003</v>
      </c>
      <c r="B550" s="168" t="s">
        <v>916</v>
      </c>
      <c r="C550" s="95"/>
      <c r="D550" s="95"/>
      <c r="E550" s="95"/>
    </row>
    <row r="551" spans="1:5" x14ac:dyDescent="0.25">
      <c r="A551" s="159">
        <v>4004</v>
      </c>
      <c r="B551" s="168" t="s">
        <v>917</v>
      </c>
      <c r="C551" s="95"/>
      <c r="D551" s="95"/>
      <c r="E551" s="95"/>
    </row>
    <row r="552" spans="1:5" x14ac:dyDescent="0.25">
      <c r="A552" s="159">
        <v>4005</v>
      </c>
      <c r="B552" s="168" t="s">
        <v>918</v>
      </c>
      <c r="C552" s="95"/>
      <c r="D552" s="95"/>
      <c r="E552" s="95"/>
    </row>
    <row r="553" spans="1:5" x14ac:dyDescent="0.25">
      <c r="A553" s="159">
        <v>4006</v>
      </c>
      <c r="B553" s="168" t="s">
        <v>919</v>
      </c>
      <c r="C553" s="95"/>
      <c r="D553" s="95"/>
      <c r="E553" s="95"/>
    </row>
    <row r="554" spans="1:5" x14ac:dyDescent="0.25">
      <c r="A554" s="159">
        <v>4007</v>
      </c>
      <c r="B554" s="168" t="s">
        <v>920</v>
      </c>
      <c r="C554" s="95"/>
      <c r="D554" s="95"/>
      <c r="E554" s="95"/>
    </row>
    <row r="555" spans="1:5" x14ac:dyDescent="0.25">
      <c r="A555" s="159">
        <v>4008</v>
      </c>
      <c r="B555" s="168" t="s">
        <v>921</v>
      </c>
      <c r="C555" s="95"/>
      <c r="D555" s="95"/>
      <c r="E555" s="95"/>
    </row>
    <row r="556" spans="1:5" x14ac:dyDescent="0.25">
      <c r="A556" s="159">
        <v>4009</v>
      </c>
      <c r="B556" s="168" t="s">
        <v>922</v>
      </c>
      <c r="C556" s="95"/>
      <c r="D556" s="95"/>
      <c r="E556" s="95"/>
    </row>
    <row r="557" spans="1:5" x14ac:dyDescent="0.25">
      <c r="A557" s="159" t="s">
        <v>923</v>
      </c>
      <c r="B557" s="168" t="s">
        <v>924</v>
      </c>
      <c r="C557" s="95"/>
      <c r="D557" s="95"/>
      <c r="E557" s="95"/>
    </row>
    <row r="558" spans="1:5" x14ac:dyDescent="0.25">
      <c r="A558" s="159" t="s">
        <v>925</v>
      </c>
      <c r="B558" s="168" t="s">
        <v>926</v>
      </c>
      <c r="C558" s="95"/>
      <c r="D558" s="95"/>
      <c r="E558" s="95"/>
    </row>
    <row r="559" spans="1:5" x14ac:dyDescent="0.25">
      <c r="A559" s="159" t="s">
        <v>927</v>
      </c>
      <c r="B559" s="168" t="s">
        <v>928</v>
      </c>
      <c r="C559" s="95"/>
      <c r="D559" s="95"/>
      <c r="E559" s="95"/>
    </row>
    <row r="560" spans="1:5" x14ac:dyDescent="0.25">
      <c r="A560" s="159" t="s">
        <v>929</v>
      </c>
      <c r="B560" s="168" t="s">
        <v>930</v>
      </c>
      <c r="C560" s="95"/>
      <c r="D560" s="95"/>
      <c r="E560" s="95"/>
    </row>
    <row r="561" spans="1:5" x14ac:dyDescent="0.25">
      <c r="A561" s="159" t="s">
        <v>931</v>
      </c>
      <c r="B561" s="168" t="s">
        <v>932</v>
      </c>
      <c r="C561" s="95"/>
      <c r="D561" s="95"/>
      <c r="E561" s="95"/>
    </row>
    <row r="562" spans="1:5" x14ac:dyDescent="0.25">
      <c r="A562" s="159" t="s">
        <v>933</v>
      </c>
      <c r="B562" s="168" t="s">
        <v>934</v>
      </c>
      <c r="C562" s="95"/>
      <c r="D562" s="95"/>
      <c r="E562" s="95"/>
    </row>
    <row r="563" spans="1:5" x14ac:dyDescent="0.25">
      <c r="A563" s="159" t="s">
        <v>935</v>
      </c>
      <c r="B563" s="168" t="s">
        <v>936</v>
      </c>
      <c r="C563" s="95"/>
      <c r="D563" s="95"/>
      <c r="E563" s="95"/>
    </row>
    <row r="564" spans="1:5" x14ac:dyDescent="0.25">
      <c r="A564" s="159" t="s">
        <v>937</v>
      </c>
      <c r="B564" s="168" t="s">
        <v>938</v>
      </c>
      <c r="C564" s="95"/>
      <c r="D564" s="95"/>
      <c r="E564" s="95"/>
    </row>
    <row r="565" spans="1:5" x14ac:dyDescent="0.25">
      <c r="A565" s="159" t="s">
        <v>939</v>
      </c>
      <c r="B565" s="168" t="s">
        <v>940</v>
      </c>
      <c r="C565" s="95"/>
      <c r="D565" s="95"/>
      <c r="E565" s="95"/>
    </row>
    <row r="566" spans="1:5" x14ac:dyDescent="0.25">
      <c r="A566" s="159" t="s">
        <v>941</v>
      </c>
      <c r="B566" s="168" t="s">
        <v>942</v>
      </c>
      <c r="C566" s="95"/>
      <c r="D566" s="95"/>
      <c r="E566" s="95"/>
    </row>
    <row r="567" spans="1:5" x14ac:dyDescent="0.25">
      <c r="A567" s="159" t="s">
        <v>943</v>
      </c>
      <c r="B567" s="168" t="s">
        <v>944</v>
      </c>
      <c r="C567" s="95"/>
      <c r="D567" s="95"/>
      <c r="E567" s="95"/>
    </row>
    <row r="568" spans="1:5" x14ac:dyDescent="0.25">
      <c r="A568" s="159" t="s">
        <v>945</v>
      </c>
      <c r="B568" s="168" t="s">
        <v>946</v>
      </c>
      <c r="C568" s="95"/>
      <c r="D568" s="95"/>
      <c r="E568" s="95"/>
    </row>
    <row r="569" spans="1:5" x14ac:dyDescent="0.25">
      <c r="A569" s="159" t="s">
        <v>947</v>
      </c>
      <c r="B569" s="168" t="s">
        <v>948</v>
      </c>
      <c r="C569" s="95"/>
      <c r="D569" s="95"/>
      <c r="E569" s="95"/>
    </row>
    <row r="570" spans="1:5" x14ac:dyDescent="0.25">
      <c r="A570" s="178" t="s">
        <v>949</v>
      </c>
      <c r="B570" s="179" t="s">
        <v>950</v>
      </c>
      <c r="C570" s="95"/>
      <c r="D570" s="95"/>
      <c r="E570" s="95"/>
    </row>
    <row r="571" spans="1:5" x14ac:dyDescent="0.25">
      <c r="A571" s="159" t="s">
        <v>951</v>
      </c>
      <c r="B571" s="168" t="s">
        <v>952</v>
      </c>
      <c r="C571" s="95"/>
      <c r="D571" s="95"/>
      <c r="E571" s="95"/>
    </row>
    <row r="572" spans="1:5" x14ac:dyDescent="0.25">
      <c r="A572" s="159" t="s">
        <v>953</v>
      </c>
      <c r="B572" s="168" t="s">
        <v>954</v>
      </c>
      <c r="C572" s="95"/>
      <c r="D572" s="95"/>
      <c r="E572" s="95"/>
    </row>
    <row r="573" spans="1:5" x14ac:dyDescent="0.25">
      <c r="A573" s="159" t="s">
        <v>955</v>
      </c>
      <c r="B573" s="168" t="s">
        <v>956</v>
      </c>
      <c r="C573" s="95"/>
      <c r="D573" s="95"/>
      <c r="E573" s="95"/>
    </row>
    <row r="574" spans="1:5" x14ac:dyDescent="0.25">
      <c r="A574" s="159" t="s">
        <v>957</v>
      </c>
      <c r="B574" s="168" t="s">
        <v>958</v>
      </c>
      <c r="C574" s="95"/>
      <c r="D574" s="95"/>
      <c r="E574" s="95"/>
    </row>
    <row r="575" spans="1:5" x14ac:dyDescent="0.25">
      <c r="A575" s="159" t="s">
        <v>959</v>
      </c>
      <c r="B575" s="168" t="s">
        <v>960</v>
      </c>
      <c r="C575" s="95"/>
      <c r="D575" s="95"/>
      <c r="E575" s="95"/>
    </row>
    <row r="576" spans="1:5" x14ac:dyDescent="0.25">
      <c r="A576" s="159">
        <v>5000</v>
      </c>
      <c r="B576" s="168" t="s">
        <v>572</v>
      </c>
      <c r="C576" s="95"/>
      <c r="D576" s="95"/>
      <c r="E576" s="95"/>
    </row>
    <row r="577" spans="1:5" x14ac:dyDescent="0.25">
      <c r="A577" s="159">
        <v>5001</v>
      </c>
      <c r="B577" s="168" t="s">
        <v>961</v>
      </c>
      <c r="C577" s="95"/>
      <c r="D577" s="95"/>
      <c r="E577" s="95"/>
    </row>
    <row r="578" spans="1:5" x14ac:dyDescent="0.25">
      <c r="A578" s="159">
        <v>5002</v>
      </c>
      <c r="B578" s="168" t="s">
        <v>962</v>
      </c>
      <c r="C578" s="95"/>
      <c r="D578" s="95"/>
      <c r="E578" s="95"/>
    </row>
    <row r="579" spans="1:5" x14ac:dyDescent="0.25">
      <c r="A579" s="159">
        <v>5003</v>
      </c>
      <c r="B579" s="168" t="s">
        <v>963</v>
      </c>
      <c r="C579" s="95"/>
      <c r="D579" s="95"/>
      <c r="E579" s="95"/>
    </row>
    <row r="580" spans="1:5" x14ac:dyDescent="0.25">
      <c r="A580" s="159" t="s">
        <v>964</v>
      </c>
      <c r="B580" s="168" t="s">
        <v>965</v>
      </c>
      <c r="C580" s="95"/>
      <c r="D580" s="95"/>
      <c r="E580" s="95"/>
    </row>
    <row r="581" spans="1:5" x14ac:dyDescent="0.25">
      <c r="A581" s="159" t="s">
        <v>966</v>
      </c>
      <c r="B581" s="168" t="s">
        <v>967</v>
      </c>
      <c r="C581" s="95"/>
      <c r="D581" s="95"/>
      <c r="E581" s="95"/>
    </row>
    <row r="582" spans="1:5" x14ac:dyDescent="0.25">
      <c r="A582" s="159" t="s">
        <v>968</v>
      </c>
      <c r="B582" s="168" t="s">
        <v>969</v>
      </c>
      <c r="C582" s="95"/>
      <c r="D582" s="95"/>
      <c r="E582" s="95"/>
    </row>
    <row r="583" spans="1:5" x14ac:dyDescent="0.25">
      <c r="A583" s="159" t="s">
        <v>970</v>
      </c>
      <c r="B583" s="168" t="s">
        <v>971</v>
      </c>
      <c r="C583" s="95"/>
      <c r="D583" s="95"/>
      <c r="E583" s="95"/>
    </row>
    <row r="584" spans="1:5" x14ac:dyDescent="0.25">
      <c r="A584" s="159" t="s">
        <v>972</v>
      </c>
      <c r="B584" s="168" t="s">
        <v>973</v>
      </c>
      <c r="C584" s="95"/>
      <c r="D584" s="95"/>
      <c r="E584" s="95"/>
    </row>
    <row r="585" spans="1:5" x14ac:dyDescent="0.25">
      <c r="A585" s="159" t="s">
        <v>974</v>
      </c>
      <c r="B585" s="168" t="s">
        <v>975</v>
      </c>
      <c r="C585" s="95"/>
      <c r="D585" s="95"/>
      <c r="E585" s="95"/>
    </row>
    <row r="586" spans="1:5" x14ac:dyDescent="0.25">
      <c r="A586" s="159" t="s">
        <v>976</v>
      </c>
      <c r="B586" s="168" t="s">
        <v>977</v>
      </c>
      <c r="C586" s="95"/>
      <c r="D586" s="95"/>
      <c r="E586" s="95"/>
    </row>
    <row r="587" spans="1:5" x14ac:dyDescent="0.25">
      <c r="A587" s="159" t="s">
        <v>978</v>
      </c>
      <c r="B587" s="168" t="s">
        <v>979</v>
      </c>
      <c r="C587" s="95"/>
      <c r="D587" s="95"/>
      <c r="E587" s="95"/>
    </row>
    <row r="588" spans="1:5" x14ac:dyDescent="0.25">
      <c r="A588" s="159" t="s">
        <v>980</v>
      </c>
      <c r="B588" s="168" t="s">
        <v>981</v>
      </c>
      <c r="C588" s="95"/>
      <c r="D588" s="95"/>
      <c r="E588" s="95"/>
    </row>
    <row r="589" spans="1:5" x14ac:dyDescent="0.25">
      <c r="A589" s="159" t="s">
        <v>982</v>
      </c>
      <c r="B589" s="168" t="s">
        <v>983</v>
      </c>
      <c r="C589" s="95"/>
      <c r="D589" s="95"/>
      <c r="E589" s="95"/>
    </row>
    <row r="590" spans="1:5" x14ac:dyDescent="0.25">
      <c r="A590" s="159" t="s">
        <v>984</v>
      </c>
      <c r="B590" s="168" t="s">
        <v>985</v>
      </c>
      <c r="C590" s="95"/>
      <c r="D590" s="95"/>
      <c r="E590" s="95"/>
    </row>
    <row r="591" spans="1:5" x14ac:dyDescent="0.25">
      <c r="A591" s="159" t="s">
        <v>986</v>
      </c>
      <c r="B591" s="168" t="s">
        <v>987</v>
      </c>
      <c r="C591" s="95"/>
      <c r="D591" s="95"/>
      <c r="E591" s="95"/>
    </row>
    <row r="592" spans="1:5" x14ac:dyDescent="0.25">
      <c r="A592" s="159" t="s">
        <v>988</v>
      </c>
      <c r="B592" s="168" t="s">
        <v>989</v>
      </c>
      <c r="C592" s="95"/>
      <c r="D592" s="95"/>
      <c r="E592" s="95"/>
    </row>
    <row r="593" spans="1:5" x14ac:dyDescent="0.25">
      <c r="A593" s="159" t="s">
        <v>990</v>
      </c>
      <c r="B593" s="168" t="s">
        <v>991</v>
      </c>
      <c r="C593" s="95"/>
      <c r="D593" s="95"/>
      <c r="E593" s="95"/>
    </row>
    <row r="594" spans="1:5" x14ac:dyDescent="0.25">
      <c r="A594" s="159" t="s">
        <v>992</v>
      </c>
      <c r="B594" s="168" t="s">
        <v>993</v>
      </c>
      <c r="C594" s="95"/>
      <c r="D594" s="95"/>
      <c r="E594" s="95"/>
    </row>
    <row r="595" spans="1:5" x14ac:dyDescent="0.25">
      <c r="A595" s="159" t="s">
        <v>994</v>
      </c>
      <c r="B595" s="168" t="s">
        <v>995</v>
      </c>
      <c r="C595" s="95"/>
      <c r="D595" s="95"/>
      <c r="E595" s="95"/>
    </row>
    <row r="596" spans="1:5" x14ac:dyDescent="0.25">
      <c r="A596" s="159" t="s">
        <v>996</v>
      </c>
      <c r="B596" s="168" t="s">
        <v>997</v>
      </c>
      <c r="C596" s="95"/>
      <c r="D596" s="95"/>
      <c r="E596" s="95"/>
    </row>
    <row r="597" spans="1:5" x14ac:dyDescent="0.25">
      <c r="A597" s="159" t="s">
        <v>998</v>
      </c>
      <c r="B597" s="168" t="s">
        <v>999</v>
      </c>
      <c r="C597" s="95"/>
      <c r="D597" s="95"/>
      <c r="E597" s="95"/>
    </row>
    <row r="598" spans="1:5" x14ac:dyDescent="0.25">
      <c r="A598" s="159" t="s">
        <v>1000</v>
      </c>
      <c r="B598" s="168" t="s">
        <v>1001</v>
      </c>
      <c r="C598" s="95"/>
      <c r="D598" s="95"/>
      <c r="E598" s="95"/>
    </row>
    <row r="599" spans="1:5" x14ac:dyDescent="0.25">
      <c r="A599" s="159" t="s">
        <v>1002</v>
      </c>
      <c r="B599" s="168" t="s">
        <v>1003</v>
      </c>
      <c r="C599" s="95"/>
      <c r="D599" s="95"/>
      <c r="E599" s="95"/>
    </row>
    <row r="600" spans="1:5" x14ac:dyDescent="0.25">
      <c r="A600" s="159" t="s">
        <v>1004</v>
      </c>
      <c r="B600" s="168" t="s">
        <v>1005</v>
      </c>
      <c r="C600" s="95"/>
      <c r="D600" s="95"/>
      <c r="E600" s="95"/>
    </row>
    <row r="601" spans="1:5" x14ac:dyDescent="0.25">
      <c r="A601" s="159" t="s">
        <v>1006</v>
      </c>
      <c r="B601" s="168" t="s">
        <v>1007</v>
      </c>
      <c r="C601" s="95"/>
      <c r="D601" s="95"/>
      <c r="E601" s="95"/>
    </row>
    <row r="602" spans="1:5" x14ac:dyDescent="0.25">
      <c r="A602" s="159" t="s">
        <v>1008</v>
      </c>
      <c r="B602" s="168" t="s">
        <v>1009</v>
      </c>
      <c r="C602" s="95"/>
      <c r="D602" s="95"/>
      <c r="E602" s="95"/>
    </row>
    <row r="603" spans="1:5" x14ac:dyDescent="0.25">
      <c r="A603" s="159" t="s">
        <v>1010</v>
      </c>
      <c r="B603" s="168" t="s">
        <v>1011</v>
      </c>
      <c r="C603" s="95"/>
      <c r="D603" s="95"/>
      <c r="E603" s="95"/>
    </row>
    <row r="604" spans="1:5" x14ac:dyDescent="0.25">
      <c r="A604" s="159" t="s">
        <v>1012</v>
      </c>
      <c r="B604" s="168" t="s">
        <v>1013</v>
      </c>
      <c r="C604" s="95"/>
      <c r="D604" s="95"/>
      <c r="E604" s="95"/>
    </row>
    <row r="605" spans="1:5" x14ac:dyDescent="0.25">
      <c r="A605" s="159" t="s">
        <v>1014</v>
      </c>
      <c r="B605" s="168" t="s">
        <v>1015</v>
      </c>
      <c r="C605" s="95"/>
      <c r="D605" s="95"/>
      <c r="E605" s="95"/>
    </row>
    <row r="606" spans="1:5" x14ac:dyDescent="0.25">
      <c r="A606" s="159" t="s">
        <v>1016</v>
      </c>
      <c r="B606" s="168" t="s">
        <v>1017</v>
      </c>
      <c r="C606" s="95"/>
      <c r="D606" s="95"/>
      <c r="E606" s="95"/>
    </row>
    <row r="607" spans="1:5" x14ac:dyDescent="0.25">
      <c r="A607" s="159" t="s">
        <v>1018</v>
      </c>
      <c r="B607" s="168" t="s">
        <v>1019</v>
      </c>
      <c r="C607" s="95"/>
      <c r="D607" s="95"/>
      <c r="E607" s="95"/>
    </row>
    <row r="608" spans="1:5" x14ac:dyDescent="0.25">
      <c r="A608" s="159" t="s">
        <v>1020</v>
      </c>
      <c r="B608" s="168" t="s">
        <v>1021</v>
      </c>
      <c r="C608" s="95"/>
      <c r="D608" s="95"/>
      <c r="E608" s="95"/>
    </row>
    <row r="609" spans="1:5" x14ac:dyDescent="0.25">
      <c r="A609" s="159" t="s">
        <v>1022</v>
      </c>
      <c r="B609" s="168" t="s">
        <v>1023</v>
      </c>
      <c r="C609" s="95"/>
      <c r="D609" s="95"/>
      <c r="E609" s="95"/>
    </row>
    <row r="610" spans="1:5" x14ac:dyDescent="0.25">
      <c r="A610" s="159" t="s">
        <v>1024</v>
      </c>
      <c r="B610" s="168" t="s">
        <v>1025</v>
      </c>
      <c r="C610" s="95"/>
      <c r="D610" s="95"/>
      <c r="E610" s="95"/>
    </row>
    <row r="611" spans="1:5" x14ac:dyDescent="0.25">
      <c r="A611" s="159" t="s">
        <v>1026</v>
      </c>
      <c r="B611" s="168" t="s">
        <v>1027</v>
      </c>
      <c r="C611" s="95"/>
      <c r="D611" s="95"/>
      <c r="E611" s="95"/>
    </row>
    <row r="612" spans="1:5" x14ac:dyDescent="0.25">
      <c r="A612" s="159" t="s">
        <v>1028</v>
      </c>
      <c r="B612" s="168" t="s">
        <v>1029</v>
      </c>
      <c r="C612" s="95"/>
      <c r="D612" s="95"/>
      <c r="E612" s="95"/>
    </row>
    <row r="613" spans="1:5" x14ac:dyDescent="0.25">
      <c r="A613" s="159" t="s">
        <v>1030</v>
      </c>
      <c r="B613" s="168" t="s">
        <v>1031</v>
      </c>
      <c r="C613" s="95"/>
      <c r="D613" s="95"/>
      <c r="E613" s="95"/>
    </row>
    <row r="614" spans="1:5" x14ac:dyDescent="0.25">
      <c r="A614" s="159">
        <v>6000</v>
      </c>
      <c r="B614" s="168" t="s">
        <v>1032</v>
      </c>
      <c r="C614" s="95"/>
      <c r="D614" s="95"/>
      <c r="E614" s="95"/>
    </row>
    <row r="615" spans="1:5" x14ac:dyDescent="0.25">
      <c r="A615" s="159">
        <v>6001</v>
      </c>
      <c r="B615" s="168" t="s">
        <v>1033</v>
      </c>
      <c r="C615" s="95"/>
      <c r="D615" s="95"/>
      <c r="E615" s="95"/>
    </row>
    <row r="616" spans="1:5" x14ac:dyDescent="0.25">
      <c r="A616" s="159">
        <v>6002</v>
      </c>
      <c r="B616" s="168" t="s">
        <v>1034</v>
      </c>
      <c r="C616" s="95"/>
      <c r="D616" s="95"/>
      <c r="E616" s="95"/>
    </row>
    <row r="617" spans="1:5" x14ac:dyDescent="0.25">
      <c r="A617" s="159">
        <v>6003</v>
      </c>
      <c r="B617" s="168" t="s">
        <v>1035</v>
      </c>
      <c r="C617" s="95"/>
      <c r="D617" s="95"/>
      <c r="E617" s="95"/>
    </row>
    <row r="618" spans="1:5" x14ac:dyDescent="0.25">
      <c r="A618" s="159">
        <v>6004</v>
      </c>
      <c r="B618" s="168" t="s">
        <v>1036</v>
      </c>
      <c r="C618" s="95"/>
      <c r="D618" s="95"/>
      <c r="E618" s="95"/>
    </row>
    <row r="619" spans="1:5" x14ac:dyDescent="0.25">
      <c r="A619" s="180">
        <v>6005</v>
      </c>
      <c r="B619" s="181" t="s">
        <v>590</v>
      </c>
      <c r="C619" s="95"/>
      <c r="D619" s="95"/>
      <c r="E619" s="95"/>
    </row>
    <row r="620" spans="1:5" x14ac:dyDescent="0.25">
      <c r="A620" s="180">
        <v>6006</v>
      </c>
      <c r="B620" s="181" t="s">
        <v>592</v>
      </c>
      <c r="C620" s="95"/>
      <c r="D620" s="95"/>
      <c r="E620" s="95"/>
    </row>
    <row r="621" spans="1:5" x14ac:dyDescent="0.25">
      <c r="A621" s="171" t="s">
        <v>1037</v>
      </c>
      <c r="B621" s="182" t="s">
        <v>1038</v>
      </c>
      <c r="C621" s="95"/>
      <c r="D621" s="95"/>
      <c r="E621" s="95"/>
    </row>
    <row r="622" spans="1:5" ht="25.5" x14ac:dyDescent="0.25">
      <c r="A622" s="159">
        <v>7001</v>
      </c>
      <c r="B622" s="183" t="s">
        <v>1039</v>
      </c>
      <c r="C622" s="95"/>
      <c r="D622" s="95"/>
      <c r="E622" s="95"/>
    </row>
    <row r="623" spans="1:5" ht="25.5" x14ac:dyDescent="0.25">
      <c r="A623" s="159">
        <v>7002</v>
      </c>
      <c r="B623" s="183" t="s">
        <v>1040</v>
      </c>
      <c r="C623" s="95"/>
      <c r="D623" s="95"/>
      <c r="E623" s="95"/>
    </row>
    <row r="624" spans="1:5" ht="25.5" x14ac:dyDescent="0.25">
      <c r="A624" s="159">
        <v>7003</v>
      </c>
      <c r="B624" s="183" t="s">
        <v>1041</v>
      </c>
      <c r="C624" s="95"/>
      <c r="D624" s="95"/>
      <c r="E624" s="95"/>
    </row>
    <row r="625" spans="1:5" ht="25.5" x14ac:dyDescent="0.25">
      <c r="A625" s="159" t="s">
        <v>1042</v>
      </c>
      <c r="B625" s="183" t="s">
        <v>1043</v>
      </c>
      <c r="C625" s="95"/>
      <c r="D625" s="95"/>
      <c r="E625" s="95"/>
    </row>
    <row r="626" spans="1:5" ht="25.5" x14ac:dyDescent="0.25">
      <c r="A626" s="159" t="s">
        <v>1044</v>
      </c>
      <c r="B626" s="183" t="s">
        <v>1045</v>
      </c>
      <c r="C626" s="95"/>
      <c r="D626" s="95"/>
      <c r="E626" s="95"/>
    </row>
    <row r="627" spans="1:5" ht="25.5" x14ac:dyDescent="0.25">
      <c r="A627" s="159" t="s">
        <v>1046</v>
      </c>
      <c r="B627" s="183" t="s">
        <v>1047</v>
      </c>
      <c r="C627" s="95"/>
      <c r="D627" s="95"/>
      <c r="E627" s="95"/>
    </row>
    <row r="628" spans="1:5" ht="25.5" x14ac:dyDescent="0.25">
      <c r="A628" s="159" t="s">
        <v>1048</v>
      </c>
      <c r="B628" s="183" t="s">
        <v>1049</v>
      </c>
      <c r="C628" s="95"/>
      <c r="D628" s="95"/>
      <c r="E628" s="95"/>
    </row>
    <row r="629" spans="1:5" ht="25.5" x14ac:dyDescent="0.25">
      <c r="A629" s="159" t="s">
        <v>1050</v>
      </c>
      <c r="B629" s="183" t="s">
        <v>1051</v>
      </c>
      <c r="C629" s="95"/>
      <c r="D629" s="95"/>
      <c r="E629" s="95"/>
    </row>
    <row r="630" spans="1:5" ht="25.5" x14ac:dyDescent="0.25">
      <c r="A630" s="159" t="s">
        <v>1052</v>
      </c>
      <c r="B630" s="183" t="s">
        <v>1053</v>
      </c>
      <c r="C630" s="95"/>
      <c r="D630" s="95"/>
      <c r="E630" s="95"/>
    </row>
    <row r="631" spans="1:5" ht="25.5" x14ac:dyDescent="0.25">
      <c r="A631" s="159" t="s">
        <v>1054</v>
      </c>
      <c r="B631" s="183" t="s">
        <v>1055</v>
      </c>
      <c r="C631" s="95"/>
      <c r="D631" s="95"/>
      <c r="E631" s="95"/>
    </row>
    <row r="632" spans="1:5" ht="25.5" x14ac:dyDescent="0.25">
      <c r="A632" s="159" t="s">
        <v>1056</v>
      </c>
      <c r="B632" s="183" t="s">
        <v>1057</v>
      </c>
      <c r="C632" s="95"/>
      <c r="D632" s="95"/>
      <c r="E632" s="95"/>
    </row>
    <row r="633" spans="1:5" ht="26.25" x14ac:dyDescent="0.25">
      <c r="A633" s="159" t="s">
        <v>1058</v>
      </c>
      <c r="B633" s="103" t="s">
        <v>1059</v>
      </c>
      <c r="C633" s="95"/>
      <c r="D633" s="95"/>
      <c r="E633" s="95"/>
    </row>
    <row r="634" spans="1:5" x14ac:dyDescent="0.25">
      <c r="A634" s="159" t="s">
        <v>1060</v>
      </c>
      <c r="B634" s="168" t="s">
        <v>1061</v>
      </c>
      <c r="C634" s="95"/>
      <c r="D634" s="95"/>
      <c r="E634" s="95"/>
    </row>
    <row r="635" spans="1:5" x14ac:dyDescent="0.25">
      <c r="A635" s="159" t="s">
        <v>1062</v>
      </c>
      <c r="B635" s="168" t="s">
        <v>1063</v>
      </c>
      <c r="C635" s="95"/>
      <c r="D635" s="95"/>
      <c r="E635" s="95"/>
    </row>
    <row r="636" spans="1:5" x14ac:dyDescent="0.25">
      <c r="A636" s="159" t="s">
        <v>1064</v>
      </c>
      <c r="B636" s="168" t="s">
        <v>1065</v>
      </c>
      <c r="C636" s="95"/>
      <c r="D636" s="95"/>
      <c r="E636" s="95"/>
    </row>
    <row r="637" spans="1:5" x14ac:dyDescent="0.25">
      <c r="A637" s="159" t="s">
        <v>1066</v>
      </c>
      <c r="B637" s="168" t="s">
        <v>1067</v>
      </c>
      <c r="C637" s="95"/>
      <c r="D637" s="95"/>
      <c r="E637" s="95"/>
    </row>
    <row r="638" spans="1:5" x14ac:dyDescent="0.25">
      <c r="A638" s="159" t="s">
        <v>1068</v>
      </c>
      <c r="B638" s="168" t="s">
        <v>1069</v>
      </c>
      <c r="C638" s="95"/>
      <c r="D638" s="95"/>
      <c r="E638" s="95"/>
    </row>
    <row r="639" spans="1:5" x14ac:dyDescent="0.25">
      <c r="A639" s="159" t="s">
        <v>1070</v>
      </c>
      <c r="B639" s="168" t="s">
        <v>1071</v>
      </c>
      <c r="C639" s="95"/>
      <c r="D639" s="95"/>
      <c r="E639" s="95"/>
    </row>
    <row r="640" spans="1:5" x14ac:dyDescent="0.25">
      <c r="A640" s="159" t="s">
        <v>1072</v>
      </c>
      <c r="B640" s="168" t="s">
        <v>1073</v>
      </c>
      <c r="C640" s="95"/>
      <c r="D640" s="95"/>
      <c r="E640" s="95"/>
    </row>
    <row r="641" spans="1:5" x14ac:dyDescent="0.25">
      <c r="A641" s="159" t="s">
        <v>1074</v>
      </c>
      <c r="B641" s="179" t="s">
        <v>1075</v>
      </c>
      <c r="C641" s="95"/>
      <c r="D641" s="95"/>
      <c r="E641" s="95"/>
    </row>
    <row r="642" spans="1:5" x14ac:dyDescent="0.25">
      <c r="A642" s="159" t="s">
        <v>1076</v>
      </c>
      <c r="B642" s="168" t="s">
        <v>1077</v>
      </c>
      <c r="C642" s="95"/>
      <c r="D642" s="95"/>
      <c r="E642" s="95"/>
    </row>
    <row r="643" spans="1:5" x14ac:dyDescent="0.25">
      <c r="A643" s="159" t="s">
        <v>1078</v>
      </c>
      <c r="B643" s="168" t="s">
        <v>1079</v>
      </c>
      <c r="C643" s="95"/>
      <c r="D643" s="95"/>
      <c r="E643" s="95"/>
    </row>
    <row r="644" spans="1:5" x14ac:dyDescent="0.25">
      <c r="A644" s="159" t="s">
        <v>1080</v>
      </c>
      <c r="B644" s="168" t="s">
        <v>1081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1082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1083</v>
      </c>
      <c r="C649" s="95"/>
      <c r="D649" s="95"/>
      <c r="E649" s="95"/>
    </row>
    <row r="650" spans="1:5" x14ac:dyDescent="0.25">
      <c r="A650" s="159">
        <v>2</v>
      </c>
      <c r="B650" s="168" t="s">
        <v>1084</v>
      </c>
      <c r="C650" s="95"/>
      <c r="D650" s="95"/>
      <c r="E650" s="95"/>
    </row>
    <row r="651" spans="1:5" x14ac:dyDescent="0.25">
      <c r="A651" s="159">
        <v>3</v>
      </c>
      <c r="B651" s="168" t="s">
        <v>1085</v>
      </c>
      <c r="C651" s="95"/>
      <c r="D651" s="95"/>
      <c r="E651" s="95"/>
    </row>
    <row r="652" spans="1:5" x14ac:dyDescent="0.25">
      <c r="A652" s="159">
        <v>4</v>
      </c>
      <c r="B652" s="168" t="s">
        <v>1086</v>
      </c>
      <c r="C652" s="95"/>
      <c r="D652" s="95"/>
      <c r="E652" s="95"/>
    </row>
    <row r="653" spans="1:5" x14ac:dyDescent="0.25">
      <c r="A653" s="159">
        <v>5</v>
      </c>
      <c r="B653" s="168" t="s">
        <v>1087</v>
      </c>
      <c r="C653" s="95"/>
      <c r="D653" s="95"/>
      <c r="E653" s="95"/>
    </row>
    <row r="654" spans="1:5" x14ac:dyDescent="0.25">
      <c r="A654" s="159" t="s">
        <v>105</v>
      </c>
      <c r="B654" s="168" t="s">
        <v>1088</v>
      </c>
      <c r="C654" s="95"/>
      <c r="D654" s="95"/>
      <c r="E654" s="95"/>
    </row>
    <row r="655" spans="1:5" x14ac:dyDescent="0.25">
      <c r="A655" s="159" t="s">
        <v>106</v>
      </c>
      <c r="B655" s="168" t="s">
        <v>1089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1090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1091</v>
      </c>
      <c r="C660" s="95"/>
      <c r="D660" s="95"/>
      <c r="E660" s="95"/>
    </row>
    <row r="661" spans="1:5" x14ac:dyDescent="0.25">
      <c r="A661" s="159">
        <v>2</v>
      </c>
      <c r="B661" s="168" t="s">
        <v>1092</v>
      </c>
      <c r="C661" s="95"/>
      <c r="D661" s="95"/>
      <c r="E661" s="95"/>
    </row>
    <row r="662" spans="1:5" x14ac:dyDescent="0.25">
      <c r="A662" s="159">
        <v>3</v>
      </c>
      <c r="B662" s="168" t="s">
        <v>1093</v>
      </c>
      <c r="C662" s="95"/>
      <c r="D662" s="95"/>
      <c r="E662" s="95"/>
    </row>
    <row r="663" spans="1:5" x14ac:dyDescent="0.25">
      <c r="A663" s="159">
        <v>4</v>
      </c>
      <c r="B663" s="168" t="s">
        <v>1094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1095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1096</v>
      </c>
      <c r="C668" s="95"/>
      <c r="D668" s="95"/>
      <c r="E668" s="95"/>
    </row>
    <row r="669" spans="1:5" x14ac:dyDescent="0.25">
      <c r="A669" s="159">
        <v>2</v>
      </c>
      <c r="B669" s="168" t="s">
        <v>1097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1098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811</v>
      </c>
      <c r="B674" s="103" t="s">
        <v>1099</v>
      </c>
      <c r="C674" s="95"/>
      <c r="D674" s="95"/>
      <c r="E674" s="95"/>
    </row>
    <row r="675" spans="1:5" x14ac:dyDescent="0.25">
      <c r="A675" s="159" t="s">
        <v>813</v>
      </c>
      <c r="B675" s="103" t="s">
        <v>1100</v>
      </c>
      <c r="C675" s="95"/>
      <c r="D675" s="95"/>
      <c r="E675" s="95"/>
    </row>
    <row r="676" spans="1:5" x14ac:dyDescent="0.25">
      <c r="A676" s="159" t="s">
        <v>815</v>
      </c>
      <c r="B676" s="103" t="s">
        <v>1101</v>
      </c>
      <c r="C676" s="95"/>
      <c r="D676" s="95"/>
      <c r="E676" s="95"/>
    </row>
    <row r="677" spans="1:5" x14ac:dyDescent="0.25">
      <c r="A677" s="159" t="s">
        <v>817</v>
      </c>
      <c r="B677" s="103" t="s">
        <v>1102</v>
      </c>
      <c r="C677" s="95"/>
      <c r="D677" s="95"/>
      <c r="E677" s="95"/>
    </row>
    <row r="678" spans="1:5" x14ac:dyDescent="0.25">
      <c r="A678" s="159" t="s">
        <v>819</v>
      </c>
      <c r="B678" s="103" t="s">
        <v>1103</v>
      </c>
      <c r="C678" s="95"/>
      <c r="D678" s="95"/>
      <c r="E678" s="95"/>
    </row>
    <row r="679" spans="1:5" x14ac:dyDescent="0.25">
      <c r="A679" s="159" t="s">
        <v>1104</v>
      </c>
      <c r="B679" s="103" t="s">
        <v>1105</v>
      </c>
      <c r="C679" s="95"/>
      <c r="D679" s="95"/>
      <c r="E679" s="95"/>
    </row>
    <row r="680" spans="1:5" ht="26.25" x14ac:dyDescent="0.25">
      <c r="A680" s="159" t="s">
        <v>821</v>
      </c>
      <c r="B680" s="103" t="s">
        <v>1106</v>
      </c>
      <c r="C680" s="95"/>
      <c r="D680" s="95"/>
      <c r="E680" s="95"/>
    </row>
    <row r="681" spans="1:5" x14ac:dyDescent="0.25">
      <c r="A681" s="159" t="s">
        <v>823</v>
      </c>
      <c r="B681" s="103" t="s">
        <v>1107</v>
      </c>
      <c r="C681" s="95"/>
      <c r="D681" s="95"/>
      <c r="E681" s="95"/>
    </row>
    <row r="682" spans="1:5" x14ac:dyDescent="0.25">
      <c r="A682" s="159" t="s">
        <v>825</v>
      </c>
      <c r="B682" s="103" t="s">
        <v>1108</v>
      </c>
      <c r="C682" s="95"/>
      <c r="D682" s="95"/>
      <c r="E682" s="95"/>
    </row>
    <row r="683" spans="1:5" x14ac:dyDescent="0.25">
      <c r="A683" s="159" t="s">
        <v>827</v>
      </c>
      <c r="B683" s="103" t="s">
        <v>1109</v>
      </c>
      <c r="C683" s="95"/>
      <c r="D683" s="95"/>
      <c r="E683" s="95"/>
    </row>
    <row r="684" spans="1:5" ht="26.25" x14ac:dyDescent="0.25">
      <c r="A684" s="159" t="s">
        <v>829</v>
      </c>
      <c r="B684" s="103" t="s">
        <v>1110</v>
      </c>
      <c r="C684" s="95"/>
      <c r="D684" s="95"/>
      <c r="E684" s="95"/>
    </row>
    <row r="685" spans="1:5" ht="39" x14ac:dyDescent="0.25">
      <c r="A685" s="159" t="s">
        <v>831</v>
      </c>
      <c r="B685" s="103" t="s">
        <v>1111</v>
      </c>
      <c r="C685" s="95"/>
      <c r="D685" s="95"/>
      <c r="E685" s="95"/>
    </row>
    <row r="686" spans="1:5" ht="26.25" x14ac:dyDescent="0.25">
      <c r="A686" s="159" t="s">
        <v>833</v>
      </c>
      <c r="B686" s="103" t="s">
        <v>1112</v>
      </c>
      <c r="C686" s="95"/>
      <c r="D686" s="95"/>
      <c r="E686" s="95"/>
    </row>
    <row r="687" spans="1:5" x14ac:dyDescent="0.25">
      <c r="A687" s="159" t="s">
        <v>1113</v>
      </c>
      <c r="B687" s="103" t="s">
        <v>1114</v>
      </c>
      <c r="C687" s="95"/>
      <c r="D687" s="95"/>
      <c r="E687" s="95"/>
    </row>
    <row r="688" spans="1:5" x14ac:dyDescent="0.25">
      <c r="A688" s="159" t="s">
        <v>1115</v>
      </c>
      <c r="B688" s="103" t="s">
        <v>1116</v>
      </c>
      <c r="C688" s="95"/>
      <c r="D688" s="95"/>
      <c r="E688" s="95"/>
    </row>
    <row r="689" spans="1:5" x14ac:dyDescent="0.25">
      <c r="A689" s="159" t="s">
        <v>1117</v>
      </c>
      <c r="B689" s="103" t="s">
        <v>1118</v>
      </c>
      <c r="C689" s="95"/>
      <c r="D689" s="95"/>
      <c r="E689" s="95"/>
    </row>
    <row r="690" spans="1:5" x14ac:dyDescent="0.25">
      <c r="A690" s="159" t="s">
        <v>1119</v>
      </c>
      <c r="B690" s="103" t="s">
        <v>1120</v>
      </c>
      <c r="C690" s="95"/>
      <c r="D690" s="95"/>
      <c r="E690" s="95"/>
    </row>
    <row r="691" spans="1:5" x14ac:dyDescent="0.25">
      <c r="A691" s="159" t="s">
        <v>1121</v>
      </c>
      <c r="B691" s="103" t="s">
        <v>1122</v>
      </c>
      <c r="C691" s="95"/>
      <c r="D691" s="95"/>
      <c r="E691" s="95"/>
    </row>
    <row r="692" spans="1:5" x14ac:dyDescent="0.25">
      <c r="A692" s="159" t="s">
        <v>1123</v>
      </c>
      <c r="B692" s="103" t="s">
        <v>1124</v>
      </c>
      <c r="C692" s="95"/>
      <c r="D692" s="95"/>
      <c r="E692" s="95"/>
    </row>
    <row r="693" spans="1:5" x14ac:dyDescent="0.25">
      <c r="A693" s="159" t="s">
        <v>1125</v>
      </c>
      <c r="B693" s="103" t="s">
        <v>1126</v>
      </c>
      <c r="C693" s="95"/>
      <c r="D693" s="95"/>
      <c r="E693" s="95"/>
    </row>
    <row r="694" spans="1:5" x14ac:dyDescent="0.25">
      <c r="A694" s="159" t="s">
        <v>1127</v>
      </c>
      <c r="B694" s="103" t="s">
        <v>1128</v>
      </c>
      <c r="C694" s="95"/>
      <c r="D694" s="95"/>
      <c r="E694" s="95"/>
    </row>
    <row r="695" spans="1:5" x14ac:dyDescent="0.25">
      <c r="A695" s="159" t="s">
        <v>1129</v>
      </c>
      <c r="B695" s="103" t="s">
        <v>1130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1131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1132</v>
      </c>
    </row>
    <row r="702" spans="1:5" x14ac:dyDescent="0.25">
      <c r="A702" s="159" t="s">
        <v>215</v>
      </c>
      <c r="B702" s="184" t="s">
        <v>1133</v>
      </c>
    </row>
    <row r="703" spans="1:5" x14ac:dyDescent="0.25">
      <c r="A703" s="159" t="s">
        <v>36</v>
      </c>
      <c r="B703" s="184" t="s">
        <v>1134</v>
      </c>
    </row>
    <row r="704" spans="1:5" x14ac:dyDescent="0.25">
      <c r="A704" s="159" t="s">
        <v>216</v>
      </c>
      <c r="B704" s="184" t="s">
        <v>1135</v>
      </c>
    </row>
    <row r="705" spans="1:3" x14ac:dyDescent="0.25">
      <c r="A705" s="159" t="s">
        <v>343</v>
      </c>
      <c r="B705" s="184" t="s">
        <v>495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1136</v>
      </c>
    </row>
    <row r="709" spans="1:3" x14ac:dyDescent="0.25">
      <c r="A709" s="100" t="s">
        <v>152</v>
      </c>
      <c r="B709" s="101" t="s">
        <v>394</v>
      </c>
      <c r="C709" s="101" t="s">
        <v>1137</v>
      </c>
    </row>
    <row r="710" spans="1:3" x14ac:dyDescent="0.25">
      <c r="A710" s="159" t="s">
        <v>98</v>
      </c>
      <c r="B710" s="185" t="s">
        <v>340</v>
      </c>
      <c r="C710" s="159" t="s">
        <v>1138</v>
      </c>
    </row>
    <row r="711" spans="1:3" x14ac:dyDescent="0.25">
      <c r="A711" s="159" t="s">
        <v>36</v>
      </c>
      <c r="B711" s="185" t="s">
        <v>1139</v>
      </c>
      <c r="C711" s="159" t="s">
        <v>1138</v>
      </c>
    </row>
    <row r="712" spans="1:3" x14ac:dyDescent="0.25">
      <c r="A712" s="159" t="s">
        <v>216</v>
      </c>
      <c r="B712" s="185" t="s">
        <v>1140</v>
      </c>
      <c r="C712" s="159" t="s">
        <v>1138</v>
      </c>
    </row>
    <row r="713" spans="1:3" x14ac:dyDescent="0.25">
      <c r="A713" s="159" t="s">
        <v>349</v>
      </c>
      <c r="B713" s="185" t="s">
        <v>1141</v>
      </c>
      <c r="C713" s="159" t="s">
        <v>1138</v>
      </c>
    </row>
    <row r="714" spans="1:3" x14ac:dyDescent="0.25">
      <c r="A714" s="159">
        <v>12</v>
      </c>
      <c r="B714" s="185" t="s">
        <v>1142</v>
      </c>
      <c r="C714" s="159" t="s">
        <v>1138</v>
      </c>
    </row>
    <row r="715" spans="1:3" x14ac:dyDescent="0.25">
      <c r="A715" s="159">
        <v>31</v>
      </c>
      <c r="B715" s="185" t="s">
        <v>1143</v>
      </c>
      <c r="C715" s="159" t="s">
        <v>1144</v>
      </c>
    </row>
    <row r="716" spans="1:3" x14ac:dyDescent="0.25">
      <c r="A716" s="159">
        <v>48</v>
      </c>
      <c r="B716" s="185" t="s">
        <v>1145</v>
      </c>
      <c r="C716" s="159" t="s">
        <v>1138</v>
      </c>
    </row>
    <row r="717" spans="1:3" x14ac:dyDescent="0.25">
      <c r="A717" s="159">
        <v>49</v>
      </c>
      <c r="B717" s="185" t="s">
        <v>1146</v>
      </c>
      <c r="C717" s="159" t="s">
        <v>1147</v>
      </c>
    </row>
    <row r="718" spans="1:3" x14ac:dyDescent="0.25">
      <c r="A718" s="159">
        <v>50</v>
      </c>
      <c r="B718" s="185" t="s">
        <v>1148</v>
      </c>
      <c r="C718" s="159" t="s">
        <v>1138</v>
      </c>
    </row>
    <row r="719" spans="1:3" x14ac:dyDescent="0.25">
      <c r="A719" s="159">
        <v>52</v>
      </c>
      <c r="B719" s="185" t="s">
        <v>1149</v>
      </c>
      <c r="C719" s="159" t="s">
        <v>1138</v>
      </c>
    </row>
    <row r="720" spans="1:3" x14ac:dyDescent="0.25">
      <c r="A720" s="159">
        <v>65</v>
      </c>
      <c r="B720" s="185" t="s">
        <v>1150</v>
      </c>
      <c r="C720" s="159" t="s">
        <v>1144</v>
      </c>
    </row>
    <row r="721" spans="1:3" ht="12.75" customHeight="1" x14ac:dyDescent="0.25">
      <c r="A721" s="159">
        <v>66</v>
      </c>
      <c r="B721" s="185" t="s">
        <v>1151</v>
      </c>
      <c r="C721" s="159" t="s">
        <v>1144</v>
      </c>
    </row>
    <row r="722" spans="1:3" ht="12.75" customHeight="1" x14ac:dyDescent="0.25">
      <c r="A722" s="159">
        <v>67</v>
      </c>
      <c r="B722" s="185" t="s">
        <v>1152</v>
      </c>
      <c r="C722" s="159" t="s">
        <v>1144</v>
      </c>
    </row>
    <row r="723" spans="1:3" ht="12.75" customHeight="1" x14ac:dyDescent="0.25">
      <c r="A723" s="159">
        <v>68</v>
      </c>
      <c r="B723" s="185" t="s">
        <v>1153</v>
      </c>
      <c r="C723" s="159" t="s">
        <v>1144</v>
      </c>
    </row>
    <row r="724" spans="1:3" ht="12.75" customHeight="1" x14ac:dyDescent="0.25">
      <c r="A724" s="159">
        <v>69</v>
      </c>
      <c r="B724" s="185" t="s">
        <v>1154</v>
      </c>
      <c r="C724" s="159" t="s">
        <v>1144</v>
      </c>
    </row>
    <row r="725" spans="1:3" ht="12.75" customHeight="1" x14ac:dyDescent="0.25">
      <c r="A725" s="159">
        <v>71</v>
      </c>
      <c r="B725" s="185" t="s">
        <v>1155</v>
      </c>
      <c r="C725" s="159" t="s">
        <v>1147</v>
      </c>
    </row>
    <row r="726" spans="1:3" ht="12.75" customHeight="1" x14ac:dyDescent="0.25">
      <c r="A726" s="159">
        <v>72</v>
      </c>
      <c r="B726" s="185" t="s">
        <v>1156</v>
      </c>
      <c r="C726" s="159" t="s">
        <v>1147</v>
      </c>
    </row>
    <row r="727" spans="1:3" ht="12.75" customHeight="1" x14ac:dyDescent="0.25">
      <c r="A727" s="159">
        <v>73</v>
      </c>
      <c r="B727" s="185" t="s">
        <v>1157</v>
      </c>
      <c r="C727" s="159" t="s">
        <v>1147</v>
      </c>
    </row>
    <row r="728" spans="1:3" ht="12.75" customHeight="1" x14ac:dyDescent="0.25">
      <c r="A728" s="159">
        <v>74</v>
      </c>
      <c r="B728" s="185" t="s">
        <v>1158</v>
      </c>
      <c r="C728" s="159" t="s">
        <v>1147</v>
      </c>
    </row>
    <row r="729" spans="1:3" ht="12.75" customHeight="1" x14ac:dyDescent="0.25">
      <c r="A729" s="159">
        <v>75</v>
      </c>
      <c r="B729" s="185" t="s">
        <v>1159</v>
      </c>
      <c r="C729" s="159" t="s">
        <v>1147</v>
      </c>
    </row>
    <row r="730" spans="1:3" ht="12.75" customHeight="1" x14ac:dyDescent="0.25">
      <c r="A730" s="159">
        <v>76</v>
      </c>
      <c r="B730" s="185" t="s">
        <v>1160</v>
      </c>
      <c r="C730" s="159" t="s">
        <v>1147</v>
      </c>
    </row>
    <row r="731" spans="1:3" ht="12.75" customHeight="1" x14ac:dyDescent="0.25">
      <c r="A731" s="159">
        <v>77</v>
      </c>
      <c r="B731" s="185" t="s">
        <v>1161</v>
      </c>
      <c r="C731" s="159" t="s">
        <v>1147</v>
      </c>
    </row>
    <row r="732" spans="1:3" ht="12.75" customHeight="1" x14ac:dyDescent="0.25">
      <c r="A732" s="159">
        <v>78</v>
      </c>
      <c r="B732" s="185" t="s">
        <v>1162</v>
      </c>
      <c r="C732" s="159" t="s">
        <v>1147</v>
      </c>
    </row>
    <row r="733" spans="1:3" ht="12.75" customHeight="1" x14ac:dyDescent="0.25">
      <c r="A733" s="159">
        <v>80</v>
      </c>
      <c r="B733" s="185" t="s">
        <v>1163</v>
      </c>
      <c r="C733" s="159" t="s">
        <v>1138</v>
      </c>
    </row>
    <row r="734" spans="1:3" ht="12.75" customHeight="1" x14ac:dyDescent="0.25">
      <c r="A734" s="159">
        <v>81</v>
      </c>
      <c r="B734" s="185" t="s">
        <v>1164</v>
      </c>
      <c r="C734" s="159" t="s">
        <v>1147</v>
      </c>
    </row>
    <row r="735" spans="1:3" ht="12.75" customHeight="1" x14ac:dyDescent="0.25">
      <c r="A735" s="159">
        <v>82</v>
      </c>
      <c r="B735" s="185" t="s">
        <v>1165</v>
      </c>
      <c r="C735" s="159" t="s">
        <v>1144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1166</v>
      </c>
    </row>
    <row r="740" spans="1:3" ht="12.75" customHeight="1" x14ac:dyDescent="0.25">
      <c r="A740" s="240" t="s">
        <v>1075</v>
      </c>
      <c r="B740" s="186" t="s">
        <v>153</v>
      </c>
      <c r="C740" s="241" t="s">
        <v>758</v>
      </c>
    </row>
    <row r="741" spans="1:3" ht="12.75" customHeight="1" x14ac:dyDescent="0.25">
      <c r="A741" s="240"/>
      <c r="B741" s="186" t="s">
        <v>1075</v>
      </c>
      <c r="C741" s="241"/>
    </row>
    <row r="742" spans="1:3" ht="12.75" customHeight="1" x14ac:dyDescent="0.25">
      <c r="A742" s="159">
        <v>1701130000</v>
      </c>
      <c r="B742" s="185" t="s">
        <v>1167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1168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1169</v>
      </c>
      <c r="C744" s="159">
        <v>50161509</v>
      </c>
    </row>
    <row r="745" spans="1:3" ht="12.75" customHeight="1" x14ac:dyDescent="0.25">
      <c r="A745" s="159" t="s">
        <v>1170</v>
      </c>
      <c r="B745" s="185" t="s">
        <v>1171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1172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1173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1174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1171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1175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1176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1177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1178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1179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1180</v>
      </c>
    </row>
    <row r="759" spans="1:3" ht="12.75" customHeight="1" x14ac:dyDescent="0.25">
      <c r="A759" s="100" t="s">
        <v>152</v>
      </c>
      <c r="B759" s="101" t="s">
        <v>394</v>
      </c>
      <c r="C759" s="101" t="s">
        <v>1181</v>
      </c>
    </row>
    <row r="760" spans="1:3" ht="12.75" customHeight="1" x14ac:dyDescent="0.25">
      <c r="A760" s="159" t="s">
        <v>1182</v>
      </c>
      <c r="B760" s="185" t="s">
        <v>1183</v>
      </c>
      <c r="C760" s="159">
        <v>200801</v>
      </c>
    </row>
    <row r="761" spans="1:3" ht="12.75" customHeight="1" x14ac:dyDescent="0.25">
      <c r="A761" s="159" t="s">
        <v>1184</v>
      </c>
      <c r="B761" s="185" t="s">
        <v>1185</v>
      </c>
      <c r="C761" s="159" t="s">
        <v>1186</v>
      </c>
    </row>
    <row r="762" spans="1:3" ht="12.75" customHeight="1" x14ac:dyDescent="0.25">
      <c r="A762" s="159" t="s">
        <v>1187</v>
      </c>
      <c r="B762" s="185" t="s">
        <v>1188</v>
      </c>
      <c r="C762" s="159">
        <v>150119</v>
      </c>
    </row>
    <row r="763" spans="1:3" ht="12.75" customHeight="1" x14ac:dyDescent="0.25">
      <c r="A763" s="159" t="s">
        <v>1189</v>
      </c>
      <c r="B763" s="185" t="s">
        <v>1190</v>
      </c>
      <c r="C763" s="159">
        <v>150605</v>
      </c>
    </row>
    <row r="764" spans="1:3" ht="12.75" customHeight="1" x14ac:dyDescent="0.25">
      <c r="A764" s="159" t="s">
        <v>1191</v>
      </c>
      <c r="B764" s="185" t="s">
        <v>1192</v>
      </c>
      <c r="C764" s="159" t="s">
        <v>1193</v>
      </c>
    </row>
    <row r="765" spans="1:3" ht="12.75" customHeight="1" x14ac:dyDescent="0.25">
      <c r="A765" s="159" t="s">
        <v>1194</v>
      </c>
      <c r="B765" s="185" t="s">
        <v>1195</v>
      </c>
      <c r="C765" s="159">
        <v>140113</v>
      </c>
    </row>
    <row r="766" spans="1:3" ht="12.75" customHeight="1" x14ac:dyDescent="0.25">
      <c r="A766" s="159" t="s">
        <v>1196</v>
      </c>
      <c r="B766" s="185" t="s">
        <v>1197</v>
      </c>
      <c r="C766" s="159">
        <v>150801</v>
      </c>
    </row>
    <row r="767" spans="1:3" ht="12.75" customHeight="1" x14ac:dyDescent="0.25">
      <c r="A767" s="159" t="s">
        <v>1198</v>
      </c>
      <c r="B767" s="185" t="s">
        <v>1199</v>
      </c>
      <c r="C767" s="159" t="s">
        <v>1200</v>
      </c>
    </row>
    <row r="768" spans="1:3" ht="12.75" customHeight="1" x14ac:dyDescent="0.25">
      <c r="A768" s="159" t="s">
        <v>1201</v>
      </c>
      <c r="B768" s="185" t="s">
        <v>1202</v>
      </c>
      <c r="C768" s="159">
        <v>180301</v>
      </c>
    </row>
    <row r="769" spans="1:3" ht="12.75" customHeight="1" x14ac:dyDescent="0.25">
      <c r="A769" s="159" t="s">
        <v>1203</v>
      </c>
      <c r="B769" s="185" t="s">
        <v>1204</v>
      </c>
      <c r="C769" s="159">
        <v>160101</v>
      </c>
    </row>
    <row r="770" spans="1:3" ht="12.75" customHeight="1" x14ac:dyDescent="0.25">
      <c r="A770" s="159" t="s">
        <v>1205</v>
      </c>
      <c r="B770" s="185" t="s">
        <v>1206</v>
      </c>
      <c r="C770" s="159" t="s">
        <v>1207</v>
      </c>
    </row>
    <row r="771" spans="1:3" ht="12.75" customHeight="1" x14ac:dyDescent="0.25">
      <c r="A771" s="159" t="s">
        <v>1208</v>
      </c>
      <c r="B771" s="185" t="s">
        <v>1209</v>
      </c>
      <c r="C771" s="159">
        <v>200501</v>
      </c>
    </row>
    <row r="772" spans="1:3" ht="12.75" customHeight="1" x14ac:dyDescent="0.25">
      <c r="A772" s="159" t="s">
        <v>1210</v>
      </c>
      <c r="B772" s="185" t="s">
        <v>1211</v>
      </c>
      <c r="C772" s="159">
        <v>110505</v>
      </c>
    </row>
    <row r="773" spans="1:3" ht="12.75" customHeight="1" x14ac:dyDescent="0.25">
      <c r="A773" s="159" t="s">
        <v>1212</v>
      </c>
      <c r="B773" s="185" t="s">
        <v>1213</v>
      </c>
      <c r="C773" s="159">
        <v>250101</v>
      </c>
    </row>
    <row r="774" spans="1:3" ht="12.75" customHeight="1" x14ac:dyDescent="0.25">
      <c r="A774" s="159" t="s">
        <v>1214</v>
      </c>
      <c r="B774" s="185" t="s">
        <v>1215</v>
      </c>
      <c r="C774" s="159">
        <v>210101</v>
      </c>
    </row>
    <row r="775" spans="1:3" ht="12.75" customHeight="1" x14ac:dyDescent="0.25">
      <c r="A775" s="159" t="s">
        <v>1216</v>
      </c>
      <c r="B775" s="185" t="s">
        <v>1217</v>
      </c>
      <c r="C775" s="159">
        <v>130109</v>
      </c>
    </row>
    <row r="776" spans="1:3" ht="12.75" customHeight="1" x14ac:dyDescent="0.25">
      <c r="A776" s="159" t="s">
        <v>1218</v>
      </c>
      <c r="B776" s="185" t="s">
        <v>1219</v>
      </c>
      <c r="C776" s="159">
        <v>110304</v>
      </c>
    </row>
    <row r="777" spans="1:3" ht="12.75" customHeight="1" x14ac:dyDescent="0.25">
      <c r="A777" s="159" t="s">
        <v>1220</v>
      </c>
      <c r="B777" s="185" t="s">
        <v>1221</v>
      </c>
      <c r="C777" s="159">
        <v>150204</v>
      </c>
    </row>
    <row r="778" spans="1:3" ht="12.75" customHeight="1" x14ac:dyDescent="0.25">
      <c r="A778" s="159" t="s">
        <v>1222</v>
      </c>
      <c r="B778" s="185" t="s">
        <v>1223</v>
      </c>
      <c r="C778" s="159">
        <v>200701</v>
      </c>
    </row>
    <row r="779" spans="1:3" ht="12.75" customHeight="1" x14ac:dyDescent="0.25">
      <c r="A779" s="159" t="s">
        <v>1224</v>
      </c>
      <c r="B779" s="185" t="s">
        <v>1225</v>
      </c>
      <c r="C779" s="159">
        <v>160201</v>
      </c>
    </row>
    <row r="780" spans="1:3" ht="12.75" customHeight="1" x14ac:dyDescent="0.25">
      <c r="A780" s="159" t="s">
        <v>1226</v>
      </c>
      <c r="B780" s="185" t="s">
        <v>1227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1228</v>
      </c>
    </row>
    <row r="785" spans="1:3" ht="12.75" customHeight="1" x14ac:dyDescent="0.25">
      <c r="A785" s="100" t="s">
        <v>152</v>
      </c>
      <c r="B785" s="101" t="s">
        <v>394</v>
      </c>
      <c r="C785" s="101" t="s">
        <v>1181</v>
      </c>
    </row>
    <row r="786" spans="1:3" ht="12.75" customHeight="1" x14ac:dyDescent="0.25">
      <c r="A786" s="159" t="s">
        <v>1229</v>
      </c>
      <c r="B786" s="185" t="s">
        <v>1230</v>
      </c>
      <c r="C786" s="159" t="s">
        <v>1231</v>
      </c>
    </row>
    <row r="787" spans="1:3" ht="12.75" customHeight="1" x14ac:dyDescent="0.25">
      <c r="A787" s="159" t="s">
        <v>1232</v>
      </c>
      <c r="B787" s="185" t="s">
        <v>1233</v>
      </c>
      <c r="C787" s="159" t="s">
        <v>1234</v>
      </c>
    </row>
    <row r="788" spans="1:3" ht="12.75" customHeight="1" x14ac:dyDescent="0.25">
      <c r="A788" s="159" t="s">
        <v>1235</v>
      </c>
      <c r="B788" s="185" t="s">
        <v>1236</v>
      </c>
      <c r="C788" s="159" t="s">
        <v>1237</v>
      </c>
    </row>
    <row r="789" spans="1:3" ht="12.75" customHeight="1" x14ac:dyDescent="0.25">
      <c r="A789" s="159" t="s">
        <v>1238</v>
      </c>
      <c r="B789" s="185" t="s">
        <v>1239</v>
      </c>
      <c r="C789" s="159" t="s">
        <v>1240</v>
      </c>
    </row>
    <row r="790" spans="1:3" ht="12.75" customHeight="1" x14ac:dyDescent="0.25">
      <c r="A790" s="159" t="s">
        <v>1241</v>
      </c>
      <c r="B790" s="185" t="s">
        <v>1242</v>
      </c>
      <c r="C790" s="159" t="s">
        <v>1243</v>
      </c>
    </row>
    <row r="791" spans="1:3" ht="12.75" customHeight="1" x14ac:dyDescent="0.25">
      <c r="A791" s="159" t="s">
        <v>1191</v>
      </c>
      <c r="B791" s="185" t="s">
        <v>1244</v>
      </c>
      <c r="C791" s="159" t="s">
        <v>1245</v>
      </c>
    </row>
    <row r="792" spans="1:3" ht="12.75" customHeight="1" x14ac:dyDescent="0.25">
      <c r="A792" s="159" t="s">
        <v>1246</v>
      </c>
      <c r="B792" s="185" t="s">
        <v>1247</v>
      </c>
      <c r="C792" s="159" t="s">
        <v>1248</v>
      </c>
    </row>
    <row r="793" spans="1:3" ht="12.75" customHeight="1" x14ac:dyDescent="0.25">
      <c r="A793" s="159" t="s">
        <v>1249</v>
      </c>
      <c r="B793" s="185" t="s">
        <v>1250</v>
      </c>
      <c r="C793" s="159" t="s">
        <v>1251</v>
      </c>
    </row>
    <row r="794" spans="1:3" ht="12.75" customHeight="1" x14ac:dyDescent="0.25">
      <c r="A794" s="159" t="s">
        <v>1252</v>
      </c>
      <c r="B794" s="185" t="s">
        <v>1253</v>
      </c>
      <c r="C794" s="159">
        <v>140101</v>
      </c>
    </row>
    <row r="795" spans="1:3" ht="12.75" customHeight="1" x14ac:dyDescent="0.25">
      <c r="A795" s="159" t="s">
        <v>1254</v>
      </c>
      <c r="B795" s="185" t="s">
        <v>1255</v>
      </c>
      <c r="C795" s="159">
        <v>100101</v>
      </c>
    </row>
    <row r="796" spans="1:3" ht="12.75" customHeight="1" x14ac:dyDescent="0.25">
      <c r="A796" s="159" t="s">
        <v>1256</v>
      </c>
      <c r="B796" s="185" t="s">
        <v>1202</v>
      </c>
      <c r="C796" s="159">
        <v>180301</v>
      </c>
    </row>
    <row r="797" spans="1:3" ht="12.75" customHeight="1" x14ac:dyDescent="0.25">
      <c r="A797" s="159" t="s">
        <v>1203</v>
      </c>
      <c r="B797" s="187" t="s">
        <v>1257</v>
      </c>
      <c r="C797" s="159">
        <v>160101</v>
      </c>
    </row>
    <row r="798" spans="1:3" ht="12.75" customHeight="1" x14ac:dyDescent="0.25">
      <c r="A798" s="159" t="s">
        <v>1258</v>
      </c>
      <c r="B798" s="185" t="s">
        <v>1259</v>
      </c>
      <c r="C798" s="159" t="s">
        <v>1260</v>
      </c>
    </row>
    <row r="799" spans="1:3" ht="12.75" customHeight="1" x14ac:dyDescent="0.25">
      <c r="A799" s="159" t="s">
        <v>1261</v>
      </c>
      <c r="B799" s="185" t="s">
        <v>1262</v>
      </c>
      <c r="C799" s="159">
        <v>220601</v>
      </c>
    </row>
    <row r="800" spans="1:3" ht="12.75" customHeight="1" x14ac:dyDescent="0.25">
      <c r="A800" s="159" t="s">
        <v>1263</v>
      </c>
      <c r="B800" s="185" t="s">
        <v>1264</v>
      </c>
      <c r="C800" s="159">
        <v>211101</v>
      </c>
    </row>
    <row r="801" spans="1:3" ht="12.75" customHeight="1" x14ac:dyDescent="0.25">
      <c r="A801" s="159" t="s">
        <v>1265</v>
      </c>
      <c r="B801" s="185" t="s">
        <v>1266</v>
      </c>
      <c r="C801" s="159">
        <v>120430</v>
      </c>
    </row>
    <row r="802" spans="1:3" ht="12.75" customHeight="1" x14ac:dyDescent="0.25">
      <c r="A802" s="159" t="s">
        <v>1267</v>
      </c>
      <c r="B802" s="185" t="s">
        <v>1268</v>
      </c>
      <c r="C802" s="159" t="s">
        <v>1186</v>
      </c>
    </row>
    <row r="803" spans="1:3" ht="12.75" customHeight="1" x14ac:dyDescent="0.25">
      <c r="A803" s="159" t="s">
        <v>1269</v>
      </c>
      <c r="B803" s="185" t="s">
        <v>1270</v>
      </c>
      <c r="C803" s="159">
        <v>220101</v>
      </c>
    </row>
    <row r="804" spans="1:3" ht="12.75" customHeight="1" x14ac:dyDescent="0.25">
      <c r="A804" s="159" t="s">
        <v>1210</v>
      </c>
      <c r="B804" s="185" t="s">
        <v>1271</v>
      </c>
      <c r="C804" s="159">
        <v>110506</v>
      </c>
    </row>
    <row r="805" spans="1:3" ht="12.75" customHeight="1" x14ac:dyDescent="0.25">
      <c r="A805" s="159" t="s">
        <v>1272</v>
      </c>
      <c r="B805" s="185" t="s">
        <v>1273</v>
      </c>
      <c r="C805" s="159">
        <v>200104</v>
      </c>
    </row>
    <row r="806" spans="1:3" ht="12.75" customHeight="1" x14ac:dyDescent="0.25">
      <c r="A806" s="159" t="s">
        <v>1212</v>
      </c>
      <c r="B806" s="185" t="s">
        <v>1274</v>
      </c>
      <c r="C806" s="159">
        <v>250105</v>
      </c>
    </row>
    <row r="807" spans="1:3" ht="12.75" customHeight="1" x14ac:dyDescent="0.25">
      <c r="A807" s="159" t="s">
        <v>1275</v>
      </c>
      <c r="B807" s="185" t="s">
        <v>1276</v>
      </c>
      <c r="C807" s="159">
        <v>170101</v>
      </c>
    </row>
    <row r="808" spans="1:3" ht="12.75" customHeight="1" x14ac:dyDescent="0.25">
      <c r="A808" s="159" t="s">
        <v>1277</v>
      </c>
      <c r="B808" s="185" t="s">
        <v>1278</v>
      </c>
      <c r="C808" s="159">
        <v>220801</v>
      </c>
    </row>
    <row r="809" spans="1:3" ht="12.75" customHeight="1" x14ac:dyDescent="0.25">
      <c r="A809" s="159" t="s">
        <v>1279</v>
      </c>
      <c r="B809" s="185" t="s">
        <v>1280</v>
      </c>
      <c r="C809" s="159">
        <v>230101</v>
      </c>
    </row>
    <row r="810" spans="1:3" ht="12.75" customHeight="1" x14ac:dyDescent="0.25">
      <c r="A810" s="159" t="s">
        <v>1222</v>
      </c>
      <c r="B810" s="185" t="s">
        <v>1281</v>
      </c>
      <c r="C810" s="159">
        <v>200701</v>
      </c>
    </row>
    <row r="811" spans="1:3" ht="12.75" customHeight="1" x14ac:dyDescent="0.25">
      <c r="A811" s="159" t="s">
        <v>1282</v>
      </c>
      <c r="B811" s="185" t="s">
        <v>1283</v>
      </c>
      <c r="C811" s="159">
        <v>220901</v>
      </c>
    </row>
    <row r="812" spans="1:3" ht="12.75" customHeight="1" x14ac:dyDescent="0.25">
      <c r="A812" s="159" t="s">
        <v>1284</v>
      </c>
      <c r="B812" s="185" t="s">
        <v>1285</v>
      </c>
      <c r="C812" s="159">
        <v>100601</v>
      </c>
    </row>
    <row r="813" spans="1:3" ht="12.75" customHeight="1" x14ac:dyDescent="0.25">
      <c r="A813" s="159" t="s">
        <v>1286</v>
      </c>
      <c r="B813" s="185" t="s">
        <v>1287</v>
      </c>
      <c r="C813" s="159">
        <v>130104</v>
      </c>
    </row>
    <row r="814" spans="1:3" ht="12.75" customHeight="1" x14ac:dyDescent="0.25">
      <c r="A814" s="159" t="s">
        <v>1288</v>
      </c>
      <c r="B814" s="185" t="s">
        <v>1289</v>
      </c>
      <c r="C814" s="159">
        <v>240101</v>
      </c>
    </row>
    <row r="815" spans="1:3" ht="12.75" customHeight="1" x14ac:dyDescent="0.25">
      <c r="A815" s="159" t="s">
        <v>1290</v>
      </c>
      <c r="B815" s="185" t="s">
        <v>1291</v>
      </c>
      <c r="C815" s="159">
        <v>250201</v>
      </c>
    </row>
    <row r="816" spans="1:3" ht="12.75" customHeight="1" x14ac:dyDescent="0.25">
      <c r="A816" s="159" t="s">
        <v>1224</v>
      </c>
      <c r="B816" s="185" t="s">
        <v>1292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1293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1294</v>
      </c>
    </row>
    <row r="823" spans="1:2" ht="12.75" customHeight="1" x14ac:dyDescent="0.25">
      <c r="A823" s="194" t="s">
        <v>1295</v>
      </c>
      <c r="B823" s="195" t="s">
        <v>1296</v>
      </c>
    </row>
    <row r="824" spans="1:2" ht="12.75" customHeight="1" x14ac:dyDescent="0.25">
      <c r="A824" s="194" t="s">
        <v>1297</v>
      </c>
      <c r="B824" s="195" t="s">
        <v>1298</v>
      </c>
    </row>
    <row r="825" spans="1:2" ht="12.75" customHeight="1" x14ac:dyDescent="0.25">
      <c r="A825" s="194" t="s">
        <v>1299</v>
      </c>
      <c r="B825" s="195" t="s">
        <v>1300</v>
      </c>
    </row>
    <row r="826" spans="1:2" ht="12.75" customHeight="1" x14ac:dyDescent="0.25">
      <c r="A826" s="194" t="s">
        <v>1301</v>
      </c>
      <c r="B826" s="195" t="s">
        <v>1302</v>
      </c>
    </row>
    <row r="827" spans="1:2" ht="12.75" customHeight="1" x14ac:dyDescent="0.25">
      <c r="A827" s="194" t="s">
        <v>1303</v>
      </c>
      <c r="B827" s="195" t="s">
        <v>1304</v>
      </c>
    </row>
    <row r="828" spans="1:2" ht="12.75" customHeight="1" x14ac:dyDescent="0.25">
      <c r="A828" s="194" t="s">
        <v>1305</v>
      </c>
      <c r="B828" s="195" t="s">
        <v>1306</v>
      </c>
    </row>
    <row r="829" spans="1:2" ht="12.75" customHeight="1" x14ac:dyDescent="0.25">
      <c r="A829" s="194" t="s">
        <v>1307</v>
      </c>
      <c r="B829" s="195" t="s">
        <v>1308</v>
      </c>
    </row>
    <row r="830" spans="1:2" ht="12.75" customHeight="1" x14ac:dyDescent="0.25">
      <c r="A830" s="194" t="s">
        <v>1309</v>
      </c>
      <c r="B830" s="195" t="s">
        <v>1310</v>
      </c>
    </row>
    <row r="831" spans="1:2" ht="12.75" customHeight="1" x14ac:dyDescent="0.25">
      <c r="A831" s="194" t="s">
        <v>1311</v>
      </c>
      <c r="B831" s="195" t="s">
        <v>1312</v>
      </c>
    </row>
    <row r="832" spans="1:2" ht="12.75" customHeight="1" x14ac:dyDescent="0.25">
      <c r="A832" s="194" t="s">
        <v>1313</v>
      </c>
      <c r="B832" s="195" t="s">
        <v>1314</v>
      </c>
    </row>
    <row r="833" spans="1:2" ht="12.75" customHeight="1" x14ac:dyDescent="0.25">
      <c r="A833" s="194" t="s">
        <v>1315</v>
      </c>
      <c r="B833" s="195" t="s">
        <v>1316</v>
      </c>
    </row>
    <row r="834" spans="1:2" ht="12.75" customHeight="1" x14ac:dyDescent="0.25">
      <c r="A834" s="194" t="s">
        <v>1317</v>
      </c>
      <c r="B834" s="195" t="s">
        <v>1318</v>
      </c>
    </row>
    <row r="835" spans="1:2" ht="12.75" customHeight="1" x14ac:dyDescent="0.25">
      <c r="A835" s="194" t="s">
        <v>1319</v>
      </c>
      <c r="B835" s="195" t="s">
        <v>1320</v>
      </c>
    </row>
    <row r="836" spans="1:2" ht="12.75" customHeight="1" x14ac:dyDescent="0.25">
      <c r="A836" s="194" t="s">
        <v>1321</v>
      </c>
      <c r="B836" s="195" t="s">
        <v>1322</v>
      </c>
    </row>
    <row r="837" spans="1:2" ht="12.75" customHeight="1" x14ac:dyDescent="0.25">
      <c r="A837" s="194" t="s">
        <v>1323</v>
      </c>
      <c r="B837" s="195" t="s">
        <v>1324</v>
      </c>
    </row>
    <row r="838" spans="1:2" ht="12.75" customHeight="1" x14ac:dyDescent="0.25">
      <c r="A838" s="194" t="s">
        <v>1187</v>
      </c>
      <c r="B838" s="195" t="s">
        <v>1325</v>
      </c>
    </row>
    <row r="839" spans="1:2" ht="12.75" customHeight="1" x14ac:dyDescent="0.25">
      <c r="A839" s="194" t="s">
        <v>1326</v>
      </c>
      <c r="B839" s="195" t="s">
        <v>1327</v>
      </c>
    </row>
    <row r="840" spans="1:2" ht="12.75" customHeight="1" x14ac:dyDescent="0.25">
      <c r="A840" s="194" t="s">
        <v>1328</v>
      </c>
      <c r="B840" s="195" t="s">
        <v>1329</v>
      </c>
    </row>
    <row r="841" spans="1:2" ht="12.75" customHeight="1" x14ac:dyDescent="0.25">
      <c r="A841" s="194" t="s">
        <v>1330</v>
      </c>
      <c r="B841" s="195" t="s">
        <v>1331</v>
      </c>
    </row>
    <row r="842" spans="1:2" ht="12.75" customHeight="1" x14ac:dyDescent="0.25">
      <c r="A842" s="194" t="s">
        <v>1332</v>
      </c>
      <c r="B842" s="195" t="s">
        <v>1333</v>
      </c>
    </row>
    <row r="843" spans="1:2" ht="12.75" customHeight="1" x14ac:dyDescent="0.25">
      <c r="A843" s="194" t="s">
        <v>1334</v>
      </c>
      <c r="B843" s="195" t="s">
        <v>1335</v>
      </c>
    </row>
    <row r="844" spans="1:2" ht="12.75" customHeight="1" x14ac:dyDescent="0.25">
      <c r="A844" s="194" t="s">
        <v>1336</v>
      </c>
      <c r="B844" s="195" t="s">
        <v>1337</v>
      </c>
    </row>
    <row r="845" spans="1:2" ht="12.75" customHeight="1" x14ac:dyDescent="0.25">
      <c r="A845" s="194" t="s">
        <v>1338</v>
      </c>
      <c r="B845" s="195" t="s">
        <v>1339</v>
      </c>
    </row>
    <row r="846" spans="1:2" ht="12.75" customHeight="1" x14ac:dyDescent="0.25">
      <c r="A846" s="194" t="s">
        <v>1340</v>
      </c>
      <c r="B846" s="195" t="s">
        <v>1341</v>
      </c>
    </row>
    <row r="847" spans="1:2" ht="12.75" customHeight="1" x14ac:dyDescent="0.25">
      <c r="A847" s="194" t="s">
        <v>1342</v>
      </c>
      <c r="B847" s="195" t="s">
        <v>1343</v>
      </c>
    </row>
    <row r="848" spans="1:2" ht="12.75" customHeight="1" x14ac:dyDescent="0.25">
      <c r="A848" s="194" t="s">
        <v>1344</v>
      </c>
      <c r="B848" s="195" t="s">
        <v>1345</v>
      </c>
    </row>
    <row r="849" spans="1:2" ht="12.75" customHeight="1" x14ac:dyDescent="0.25">
      <c r="A849" s="194" t="s">
        <v>1346</v>
      </c>
      <c r="B849" s="195" t="s">
        <v>1347</v>
      </c>
    </row>
    <row r="850" spans="1:2" ht="12.75" customHeight="1" x14ac:dyDescent="0.25">
      <c r="A850" s="194" t="s">
        <v>1348</v>
      </c>
      <c r="B850" s="195" t="s">
        <v>1349</v>
      </c>
    </row>
    <row r="851" spans="1:2" ht="12.75" customHeight="1" x14ac:dyDescent="0.25">
      <c r="A851" s="194" t="s">
        <v>1350</v>
      </c>
      <c r="B851" s="195" t="s">
        <v>1351</v>
      </c>
    </row>
    <row r="852" spans="1:2" ht="12.75" customHeight="1" x14ac:dyDescent="0.25">
      <c r="A852" s="194" t="s">
        <v>1352</v>
      </c>
      <c r="B852" s="195" t="s">
        <v>1353</v>
      </c>
    </row>
    <row r="853" spans="1:2" ht="12.75" customHeight="1" x14ac:dyDescent="0.25">
      <c r="A853" s="194" t="s">
        <v>1354</v>
      </c>
      <c r="B853" s="195" t="s">
        <v>1355</v>
      </c>
    </row>
    <row r="854" spans="1:2" ht="12.75" customHeight="1" x14ac:dyDescent="0.25">
      <c r="A854" s="194" t="s">
        <v>1356</v>
      </c>
      <c r="B854" s="195" t="s">
        <v>1357</v>
      </c>
    </row>
    <row r="855" spans="1:2" ht="12.75" customHeight="1" x14ac:dyDescent="0.25">
      <c r="A855" s="194" t="s">
        <v>1358</v>
      </c>
      <c r="B855" s="195" t="s">
        <v>1358</v>
      </c>
    </row>
    <row r="856" spans="1:2" ht="12.75" customHeight="1" x14ac:dyDescent="0.25">
      <c r="A856" s="194" t="s">
        <v>1359</v>
      </c>
      <c r="B856" s="195" t="s">
        <v>1360</v>
      </c>
    </row>
    <row r="857" spans="1:2" ht="12.75" customHeight="1" x14ac:dyDescent="0.25">
      <c r="A857" s="194" t="s">
        <v>1361</v>
      </c>
      <c r="B857" s="195" t="s">
        <v>1362</v>
      </c>
    </row>
    <row r="858" spans="1:2" ht="12.75" customHeight="1" x14ac:dyDescent="0.25">
      <c r="A858" s="194" t="s">
        <v>1363</v>
      </c>
      <c r="B858" s="195" t="s">
        <v>1364</v>
      </c>
    </row>
    <row r="859" spans="1:2" ht="12.75" customHeight="1" x14ac:dyDescent="0.25">
      <c r="A859" s="194" t="s">
        <v>1365</v>
      </c>
      <c r="B859" s="195" t="s">
        <v>1366</v>
      </c>
    </row>
    <row r="860" spans="1:2" ht="12.75" customHeight="1" x14ac:dyDescent="0.25">
      <c r="A860" s="194" t="s">
        <v>1367</v>
      </c>
      <c r="B860" s="195" t="s">
        <v>1368</v>
      </c>
    </row>
    <row r="861" spans="1:2" ht="12.75" customHeight="1" x14ac:dyDescent="0.25">
      <c r="A861" s="194" t="s">
        <v>1369</v>
      </c>
      <c r="B861" s="195" t="s">
        <v>1370</v>
      </c>
    </row>
    <row r="862" spans="1:2" ht="12.75" customHeight="1" x14ac:dyDescent="0.25">
      <c r="A862" s="194" t="s">
        <v>1371</v>
      </c>
      <c r="B862" s="195" t="s">
        <v>1372</v>
      </c>
    </row>
    <row r="863" spans="1:2" ht="12.75" customHeight="1" x14ac:dyDescent="0.25">
      <c r="A863" s="194" t="s">
        <v>1373</v>
      </c>
      <c r="B863" s="195" t="s">
        <v>1374</v>
      </c>
    </row>
    <row r="864" spans="1:2" ht="12.75" customHeight="1" x14ac:dyDescent="0.25">
      <c r="A864" s="194" t="s">
        <v>1375</v>
      </c>
      <c r="B864" s="195" t="s">
        <v>1376</v>
      </c>
    </row>
    <row r="865" spans="1:2" ht="12.75" customHeight="1" x14ac:dyDescent="0.25">
      <c r="A865" s="194" t="s">
        <v>1377</v>
      </c>
      <c r="B865" s="195" t="s">
        <v>1378</v>
      </c>
    </row>
    <row r="866" spans="1:2" ht="12.75" customHeight="1" x14ac:dyDescent="0.25">
      <c r="A866" s="194" t="s">
        <v>116</v>
      </c>
      <c r="B866" s="195" t="s">
        <v>1379</v>
      </c>
    </row>
    <row r="867" spans="1:2" ht="12.75" customHeight="1" x14ac:dyDescent="0.25">
      <c r="A867" s="194" t="s">
        <v>1380</v>
      </c>
      <c r="B867" s="195" t="s">
        <v>1381</v>
      </c>
    </row>
    <row r="868" spans="1:2" ht="12.75" customHeight="1" x14ac:dyDescent="0.25">
      <c r="A868" s="194" t="s">
        <v>1382</v>
      </c>
      <c r="B868" s="195" t="s">
        <v>1383</v>
      </c>
    </row>
    <row r="869" spans="1:2" ht="12.75" customHeight="1" x14ac:dyDescent="0.25">
      <c r="A869" s="194" t="s">
        <v>1384</v>
      </c>
      <c r="B869" s="195" t="s">
        <v>1385</v>
      </c>
    </row>
    <row r="870" spans="1:2" ht="12.75" customHeight="1" x14ac:dyDescent="0.25">
      <c r="A870" s="194" t="s">
        <v>1386</v>
      </c>
      <c r="B870" s="195" t="s">
        <v>1387</v>
      </c>
    </row>
    <row r="871" spans="1:2" ht="12.75" customHeight="1" x14ac:dyDescent="0.25">
      <c r="A871" s="194" t="s">
        <v>1388</v>
      </c>
      <c r="B871" s="195" t="s">
        <v>1389</v>
      </c>
    </row>
    <row r="872" spans="1:2" ht="12.75" customHeight="1" x14ac:dyDescent="0.25">
      <c r="A872" s="194" t="s">
        <v>1390</v>
      </c>
      <c r="B872" s="195" t="s">
        <v>1391</v>
      </c>
    </row>
    <row r="873" spans="1:2" ht="12.75" customHeight="1" x14ac:dyDescent="0.25">
      <c r="A873" s="194" t="s">
        <v>1392</v>
      </c>
      <c r="B873" s="195" t="s">
        <v>1393</v>
      </c>
    </row>
    <row r="874" spans="1:2" ht="12.75" customHeight="1" x14ac:dyDescent="0.25">
      <c r="A874" s="194" t="s">
        <v>1394</v>
      </c>
      <c r="B874" s="195" t="s">
        <v>1395</v>
      </c>
    </row>
    <row r="875" spans="1:2" ht="12.75" customHeight="1" x14ac:dyDescent="0.25">
      <c r="A875" s="194" t="s">
        <v>1396</v>
      </c>
      <c r="B875" s="195" t="s">
        <v>1397</v>
      </c>
    </row>
    <row r="876" spans="1:2" ht="12.75" customHeight="1" x14ac:dyDescent="0.25">
      <c r="A876" s="194" t="s">
        <v>1398</v>
      </c>
      <c r="B876" s="195" t="s">
        <v>1399</v>
      </c>
    </row>
    <row r="877" spans="1:2" ht="12.75" customHeight="1" x14ac:dyDescent="0.25">
      <c r="A877" s="194" t="s">
        <v>1400</v>
      </c>
      <c r="B877" s="195" t="s">
        <v>1401</v>
      </c>
    </row>
    <row r="878" spans="1:2" ht="12.75" customHeight="1" x14ac:dyDescent="0.25">
      <c r="A878" s="194" t="s">
        <v>1402</v>
      </c>
      <c r="B878" s="195" t="s">
        <v>1403</v>
      </c>
    </row>
    <row r="879" spans="1:2" ht="12.75" customHeight="1" x14ac:dyDescent="0.25">
      <c r="A879" s="194" t="s">
        <v>1404</v>
      </c>
      <c r="B879" s="195" t="s">
        <v>1405</v>
      </c>
    </row>
    <row r="880" spans="1:2" ht="12.75" customHeight="1" x14ac:dyDescent="0.25">
      <c r="A880" s="194" t="s">
        <v>1406</v>
      </c>
      <c r="B880" s="195" t="s">
        <v>1407</v>
      </c>
    </row>
    <row r="881" spans="1:2" ht="12.75" customHeight="1" x14ac:dyDescent="0.25">
      <c r="A881" s="194" t="s">
        <v>1408</v>
      </c>
      <c r="B881" s="195" t="s">
        <v>1409</v>
      </c>
    </row>
    <row r="882" spans="1:2" ht="12.75" customHeight="1" x14ac:dyDescent="0.25">
      <c r="A882" s="194" t="s">
        <v>1208</v>
      </c>
      <c r="B882" s="195" t="s">
        <v>1410</v>
      </c>
    </row>
    <row r="883" spans="1:2" ht="12.75" customHeight="1" x14ac:dyDescent="0.25">
      <c r="A883" s="194" t="s">
        <v>1411</v>
      </c>
      <c r="B883" s="195" t="s">
        <v>1412</v>
      </c>
    </row>
    <row r="884" spans="1:2" ht="12.75" customHeight="1" x14ac:dyDescent="0.25">
      <c r="A884" s="194" t="s">
        <v>1413</v>
      </c>
      <c r="B884" s="195" t="s">
        <v>1414</v>
      </c>
    </row>
    <row r="885" spans="1:2" ht="12.75" customHeight="1" x14ac:dyDescent="0.25">
      <c r="A885" s="194" t="s">
        <v>1415</v>
      </c>
      <c r="B885" s="195" t="s">
        <v>1416</v>
      </c>
    </row>
    <row r="886" spans="1:2" ht="12.75" customHeight="1" x14ac:dyDescent="0.25">
      <c r="A886" s="194" t="s">
        <v>1417</v>
      </c>
      <c r="B886" s="195" t="s">
        <v>1418</v>
      </c>
    </row>
    <row r="887" spans="1:2" ht="12.75" customHeight="1" x14ac:dyDescent="0.25">
      <c r="A887" s="194" t="s">
        <v>1419</v>
      </c>
      <c r="B887" s="195" t="s">
        <v>1420</v>
      </c>
    </row>
    <row r="888" spans="1:2" ht="12.75" customHeight="1" x14ac:dyDescent="0.25">
      <c r="A888" s="194" t="s">
        <v>1421</v>
      </c>
      <c r="B888" s="195" t="s">
        <v>1422</v>
      </c>
    </row>
    <row r="889" spans="1:2" ht="12.75" customHeight="1" x14ac:dyDescent="0.25">
      <c r="A889" s="194" t="s">
        <v>1423</v>
      </c>
      <c r="B889" s="195" t="s">
        <v>1424</v>
      </c>
    </row>
    <row r="890" spans="1:2" ht="12.75" customHeight="1" x14ac:dyDescent="0.25">
      <c r="A890" s="194" t="s">
        <v>1425</v>
      </c>
      <c r="B890" s="195" t="s">
        <v>1426</v>
      </c>
    </row>
    <row r="891" spans="1:2" ht="12.75" customHeight="1" x14ac:dyDescent="0.25">
      <c r="A891" s="194" t="s">
        <v>1427</v>
      </c>
      <c r="B891" s="195" t="s">
        <v>1428</v>
      </c>
    </row>
    <row r="892" spans="1:2" ht="12.75" customHeight="1" x14ac:dyDescent="0.25">
      <c r="A892" s="194" t="s">
        <v>1429</v>
      </c>
      <c r="B892" s="195" t="s">
        <v>1430</v>
      </c>
    </row>
    <row r="893" spans="1:2" ht="12.75" customHeight="1" x14ac:dyDescent="0.25">
      <c r="A893" s="194" t="s">
        <v>1431</v>
      </c>
      <c r="B893" s="195" t="s">
        <v>1432</v>
      </c>
    </row>
    <row r="894" spans="1:2" ht="12.75" customHeight="1" x14ac:dyDescent="0.25">
      <c r="A894" s="194" t="s">
        <v>1433</v>
      </c>
      <c r="B894" s="195" t="s">
        <v>1434</v>
      </c>
    </row>
    <row r="895" spans="1:2" ht="12.75" customHeight="1" x14ac:dyDescent="0.25">
      <c r="A895" s="194" t="s">
        <v>1435</v>
      </c>
      <c r="B895" s="195" t="s">
        <v>1436</v>
      </c>
    </row>
    <row r="896" spans="1:2" ht="12.75" customHeight="1" x14ac:dyDescent="0.25">
      <c r="A896" s="194" t="s">
        <v>1437</v>
      </c>
      <c r="B896" s="195" t="s">
        <v>1438</v>
      </c>
    </row>
    <row r="897" spans="1:2" ht="12.75" customHeight="1" x14ac:dyDescent="0.25">
      <c r="A897" s="194" t="s">
        <v>1439</v>
      </c>
      <c r="B897" s="195" t="s">
        <v>1440</v>
      </c>
    </row>
    <row r="898" spans="1:2" ht="12.75" customHeight="1" x14ac:dyDescent="0.25">
      <c r="A898" s="194" t="s">
        <v>1441</v>
      </c>
      <c r="B898" s="195" t="s">
        <v>1442</v>
      </c>
    </row>
    <row r="899" spans="1:2" ht="12.75" customHeight="1" x14ac:dyDescent="0.25">
      <c r="A899" s="194" t="s">
        <v>1443</v>
      </c>
      <c r="B899" s="195" t="s">
        <v>1444</v>
      </c>
    </row>
    <row r="900" spans="1:2" ht="12.75" customHeight="1" x14ac:dyDescent="0.25">
      <c r="A900" s="194" t="s">
        <v>1445</v>
      </c>
      <c r="B900" s="195" t="s">
        <v>1445</v>
      </c>
    </row>
    <row r="901" spans="1:2" ht="12.75" customHeight="1" x14ac:dyDescent="0.25">
      <c r="A901" s="194" t="s">
        <v>1446</v>
      </c>
      <c r="B901" s="195" t="s">
        <v>1447</v>
      </c>
    </row>
    <row r="902" spans="1:2" ht="12.75" customHeight="1" x14ac:dyDescent="0.25">
      <c r="A902" s="194" t="s">
        <v>1448</v>
      </c>
      <c r="B902" s="195" t="s">
        <v>1449</v>
      </c>
    </row>
    <row r="903" spans="1:2" ht="12.75" customHeight="1" x14ac:dyDescent="0.25">
      <c r="A903" s="194" t="s">
        <v>1450</v>
      </c>
      <c r="B903" s="195" t="s">
        <v>1451</v>
      </c>
    </row>
    <row r="904" spans="1:2" ht="12.75" customHeight="1" x14ac:dyDescent="0.25">
      <c r="A904" s="194" t="s">
        <v>1452</v>
      </c>
      <c r="B904" s="195" t="s">
        <v>1453</v>
      </c>
    </row>
    <row r="905" spans="1:2" ht="12.75" customHeight="1" x14ac:dyDescent="0.25">
      <c r="A905" s="194" t="s">
        <v>1454</v>
      </c>
      <c r="B905" s="195" t="s">
        <v>1455</v>
      </c>
    </row>
    <row r="906" spans="1:2" ht="12.75" customHeight="1" x14ac:dyDescent="0.25">
      <c r="A906" s="194" t="s">
        <v>1456</v>
      </c>
      <c r="B906" s="195" t="s">
        <v>1457</v>
      </c>
    </row>
    <row r="907" spans="1:2" ht="12.75" customHeight="1" x14ac:dyDescent="0.25">
      <c r="A907" s="194" t="s">
        <v>1458</v>
      </c>
      <c r="B907" s="195" t="s">
        <v>1459</v>
      </c>
    </row>
    <row r="908" spans="1:2" ht="12.75" customHeight="1" x14ac:dyDescent="0.25">
      <c r="A908" s="194" t="s">
        <v>1460</v>
      </c>
      <c r="B908" s="195" t="s">
        <v>1461</v>
      </c>
    </row>
    <row r="909" spans="1:2" ht="12.75" customHeight="1" x14ac:dyDescent="0.25">
      <c r="A909" s="194" t="s">
        <v>1462</v>
      </c>
      <c r="B909" s="195" t="s">
        <v>1463</v>
      </c>
    </row>
    <row r="910" spans="1:2" ht="12.75" customHeight="1" x14ac:dyDescent="0.25">
      <c r="A910" s="194" t="s">
        <v>1464</v>
      </c>
      <c r="B910" s="195" t="s">
        <v>1465</v>
      </c>
    </row>
    <row r="911" spans="1:2" ht="12.75" customHeight="1" x14ac:dyDescent="0.25">
      <c r="A911" s="194" t="s">
        <v>1466</v>
      </c>
      <c r="B911" s="195" t="s">
        <v>1467</v>
      </c>
    </row>
    <row r="912" spans="1:2" ht="12.75" customHeight="1" x14ac:dyDescent="0.25">
      <c r="A912" s="194" t="s">
        <v>1468</v>
      </c>
      <c r="B912" s="195" t="s">
        <v>1469</v>
      </c>
    </row>
    <row r="913" spans="1:3" ht="12.75" customHeight="1" x14ac:dyDescent="0.25">
      <c r="A913" s="194" t="s">
        <v>1470</v>
      </c>
      <c r="B913" s="195" t="s">
        <v>1471</v>
      </c>
    </row>
    <row r="914" spans="1:3" ht="12.75" customHeight="1" x14ac:dyDescent="0.25">
      <c r="A914" s="194" t="s">
        <v>1472</v>
      </c>
      <c r="B914" s="195" t="s">
        <v>1473</v>
      </c>
    </row>
    <row r="915" spans="1:3" ht="12.75" customHeight="1" x14ac:dyDescent="0.25">
      <c r="A915" s="194" t="s">
        <v>1474</v>
      </c>
      <c r="B915" s="195" t="s">
        <v>1475</v>
      </c>
    </row>
    <row r="916" spans="1:3" ht="12.75" customHeight="1" x14ac:dyDescent="0.25">
      <c r="A916" s="194" t="s">
        <v>1476</v>
      </c>
      <c r="B916" s="195" t="s">
        <v>1477</v>
      </c>
    </row>
    <row r="917" spans="1:3" ht="12.75" customHeight="1" x14ac:dyDescent="0.25">
      <c r="A917" s="194" t="s">
        <v>1478</v>
      </c>
      <c r="B917" s="195" t="s">
        <v>1479</v>
      </c>
    </row>
    <row r="918" spans="1:3" ht="12.75" customHeight="1" x14ac:dyDescent="0.25">
      <c r="A918" s="194" t="s">
        <v>1480</v>
      </c>
      <c r="B918" s="195" t="s">
        <v>1481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38" t="s">
        <v>1482</v>
      </c>
      <c r="B921" s="238"/>
      <c r="C921" s="238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1483</v>
      </c>
    </row>
    <row r="924" spans="1:3" ht="12.75" customHeight="1" x14ac:dyDescent="0.25">
      <c r="A924" s="196" t="s">
        <v>150</v>
      </c>
      <c r="B924" s="99" t="s">
        <v>1484</v>
      </c>
    </row>
    <row r="925" spans="1:3" ht="12.75" customHeight="1" x14ac:dyDescent="0.25">
      <c r="A925" s="197" t="s">
        <v>152</v>
      </c>
      <c r="B925" s="198" t="s">
        <v>394</v>
      </c>
      <c r="C925" s="198" t="s">
        <v>1485</v>
      </c>
    </row>
    <row r="926" spans="1:3" ht="12.75" customHeight="1" x14ac:dyDescent="0.25">
      <c r="A926" s="159" t="s">
        <v>98</v>
      </c>
      <c r="B926" s="185" t="s">
        <v>1486</v>
      </c>
      <c r="C926" s="159" t="s">
        <v>1487</v>
      </c>
    </row>
    <row r="927" spans="1:3" ht="12.75" customHeight="1" x14ac:dyDescent="0.25">
      <c r="A927" s="159" t="s">
        <v>215</v>
      </c>
      <c r="B927" s="185" t="s">
        <v>1488</v>
      </c>
      <c r="C927" s="159" t="s">
        <v>1489</v>
      </c>
    </row>
    <row r="928" spans="1:3" ht="12.75" customHeight="1" x14ac:dyDescent="0.25">
      <c r="A928" s="159" t="s">
        <v>36</v>
      </c>
      <c r="B928" s="185" t="s">
        <v>1490</v>
      </c>
      <c r="C928" s="159" t="s">
        <v>1491</v>
      </c>
    </row>
    <row r="929" spans="1:3" ht="12.75" customHeight="1" x14ac:dyDescent="0.25">
      <c r="A929" s="159" t="s">
        <v>216</v>
      </c>
      <c r="B929" s="185" t="s">
        <v>1492</v>
      </c>
      <c r="C929" s="159" t="s">
        <v>1493</v>
      </c>
    </row>
    <row r="930" spans="1:3" ht="12.75" customHeight="1" x14ac:dyDescent="0.25">
      <c r="A930" s="159" t="s">
        <v>343</v>
      </c>
      <c r="B930" s="185" t="s">
        <v>1494</v>
      </c>
      <c r="C930" s="159" t="s">
        <v>1495</v>
      </c>
    </row>
    <row r="931" spans="1:3" ht="12.75" customHeight="1" x14ac:dyDescent="0.25">
      <c r="A931" s="159" t="s">
        <v>99</v>
      </c>
      <c r="B931" s="185" t="s">
        <v>1496</v>
      </c>
      <c r="C931" s="159" t="s">
        <v>1497</v>
      </c>
    </row>
    <row r="932" spans="1:3" ht="12.75" customHeight="1" x14ac:dyDescent="0.25">
      <c r="A932" s="159" t="s">
        <v>68</v>
      </c>
      <c r="B932" s="185" t="s">
        <v>1498</v>
      </c>
      <c r="C932" s="159" t="s">
        <v>1499</v>
      </c>
    </row>
    <row r="933" spans="1:3" ht="12.75" customHeight="1" x14ac:dyDescent="0.25">
      <c r="A933" s="159" t="s">
        <v>347</v>
      </c>
      <c r="B933" s="185" t="s">
        <v>1500</v>
      </c>
      <c r="C933" s="159" t="s">
        <v>1501</v>
      </c>
    </row>
    <row r="934" spans="1:3" ht="12.75" customHeight="1" x14ac:dyDescent="0.25">
      <c r="A934" s="159" t="s">
        <v>349</v>
      </c>
      <c r="B934" s="185" t="s">
        <v>1502</v>
      </c>
      <c r="C934" s="159" t="s">
        <v>1503</v>
      </c>
    </row>
    <row r="935" spans="1:3" ht="12.75" customHeight="1" x14ac:dyDescent="0.25">
      <c r="A935" s="159">
        <v>10</v>
      </c>
      <c r="B935" s="185" t="s">
        <v>1504</v>
      </c>
      <c r="C935" s="159" t="s">
        <v>1505</v>
      </c>
    </row>
    <row r="936" spans="1:3" ht="12.75" customHeight="1" x14ac:dyDescent="0.25">
      <c r="A936" s="159">
        <v>11</v>
      </c>
      <c r="B936" s="185" t="s">
        <v>1506</v>
      </c>
      <c r="C936" s="159" t="s">
        <v>1507</v>
      </c>
    </row>
    <row r="937" spans="1:3" ht="12.75" customHeight="1" x14ac:dyDescent="0.25">
      <c r="A937" s="159">
        <v>12</v>
      </c>
      <c r="B937" s="185" t="s">
        <v>1508</v>
      </c>
      <c r="C937" s="159" t="s">
        <v>1336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921:C921"/>
    <mergeCell ref="B321:C321"/>
    <mergeCell ref="B322:C322"/>
    <mergeCell ref="A393:B393"/>
    <mergeCell ref="A394:B394"/>
    <mergeCell ref="A740:A741"/>
    <mergeCell ref="C740:C741"/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564"/>
  <sheetViews>
    <sheetView workbookViewId="0">
      <selection activeCell="G3" sqref="G3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257</v>
      </c>
      <c r="F4" s="11"/>
      <c r="G4" s="72" t="str">
        <f t="shared" si="0"/>
        <v>A;Serie;;F001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>
        <v>5</v>
      </c>
      <c r="F5" s="11"/>
      <c r="G5" s="72" t="str">
        <f t="shared" si="0"/>
        <v>A;Correlativo;;5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1526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20600948131</v>
      </c>
      <c r="F7" s="14"/>
      <c r="G7" s="72" t="str">
        <f t="shared" si="0"/>
        <v>A;RUTEmis;;20600948131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1528</v>
      </c>
      <c r="F9" s="14"/>
      <c r="G9" s="72" t="str">
        <f t="shared" si="0"/>
        <v>A;NomComer;;Dollarcity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1527</v>
      </c>
      <c r="F10" s="14"/>
      <c r="G10" s="72" t="str">
        <f t="shared" si="0"/>
        <v>A;DirEmis;;Av. Santo Toribio Nro. 0143 Int. 301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IF($E$21&gt;0,"null","go")</f>
        <v>null</v>
      </c>
      <c r="B12" t="s">
        <v>7</v>
      </c>
      <c r="C12" t="s">
        <v>218</v>
      </c>
      <c r="E12" s="2" t="s">
        <v>219</v>
      </c>
      <c r="F12" s="14"/>
      <c r="G12" s="72" t="str">
        <f t="shared" si="0"/>
        <v/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25">
      <c r="A14" t="s">
        <v>6</v>
      </c>
      <c r="B14" t="s">
        <v>7</v>
      </c>
      <c r="C14" t="s">
        <v>19</v>
      </c>
      <c r="E14" s="62">
        <f>MACRO!$A$7</f>
        <v>6</v>
      </c>
      <c r="G14" s="72" t="str">
        <f t="shared" si="0"/>
        <v>A;TipoRutReceptor;;6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10455608916</v>
      </c>
      <c r="G15" s="72" t="str">
        <f t="shared" si="0"/>
        <v>A;RUTRecep;;10455608916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FRANCO CABANILLAS</v>
      </c>
      <c r="G16" s="72" t="str">
        <f t="shared" si="0"/>
        <v>A;RznSocRecep;;FRANCO CABANILLAS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LIMA</v>
      </c>
      <c r="G17" s="72" t="str">
        <f t="shared" si="0"/>
        <v>A;DirRecep;;LIMA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go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>A;TipoOperacion;;0101</v>
      </c>
    </row>
    <row r="20" spans="1:14" x14ac:dyDescent="0.25">
      <c r="A20" t="str">
        <f>$A$21</f>
        <v>go</v>
      </c>
      <c r="B20" t="s">
        <v>7</v>
      </c>
      <c r="C20" t="s">
        <v>208</v>
      </c>
      <c r="E20" s="209" t="str">
        <f>MACRO!$A$10</f>
        <v>Anulación de la operación</v>
      </c>
      <c r="G20" s="72" t="str">
        <f t="shared" si="0"/>
        <v>A;Sustento;;Anulación de la operación</v>
      </c>
    </row>
    <row r="21" spans="1:14" x14ac:dyDescent="0.25">
      <c r="A21" t="str">
        <f>IF($E$21&lt;&gt;"","go","null")</f>
        <v>go</v>
      </c>
      <c r="B21" t="s">
        <v>7</v>
      </c>
      <c r="C21" t="s">
        <v>209</v>
      </c>
      <c r="E21" s="64" t="str">
        <f>IFERROR(VLOOKUP(MACRO!A10,CAT_NC_ND,2,FALSE),"")</f>
        <v>01</v>
      </c>
      <c r="F21" s="14"/>
      <c r="G21" s="72" t="str">
        <f>IF($A21="go",CONCATENATE($B21,";",$C21,";",$D21,";",TEXT($E21,"00")),"")</f>
        <v>A;TipoNotaCredito;;01</v>
      </c>
    </row>
    <row r="22" spans="1:14" x14ac:dyDescent="0.25">
      <c r="A22" t="s">
        <v>51</v>
      </c>
      <c r="B22" t="s">
        <v>7</v>
      </c>
      <c r="C22" s="16" t="s">
        <v>26</v>
      </c>
      <c r="E22" s="64" t="s">
        <v>200</v>
      </c>
      <c r="F22" s="14"/>
      <c r="G22" s="72" t="str">
        <f t="shared" ref="G22:G35" si="1">IF($A22="go",CONCATENATE($B22,";",$C22,";",$D22,";",$E22),"")</f>
        <v/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700</v>
      </c>
      <c r="F23" s="14"/>
      <c r="G23" s="72" t="str">
        <f t="shared" si="1"/>
        <v>A;MntNeto;;700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826</v>
      </c>
      <c r="G24" s="72" t="str">
        <f t="shared" si="1"/>
        <v>A;MntTotal;;826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2022-08-15</v>
      </c>
      <c r="G25" s="72" t="str">
        <f t="shared" si="1"/>
        <v>A;FchEmis;;2022-08-15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19:12:24</v>
      </c>
      <c r="F26" s="14"/>
      <c r="G26" s="72" t="str">
        <f t="shared" ca="1" si="1"/>
        <v>A;HoraEmision;;19:12:24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18">
        <f>ROUND(MACRO!F3,2)</f>
        <v>126</v>
      </c>
      <c r="G29" s="72" t="str">
        <f t="shared" si="1"/>
        <v>A2;MontoImpuesto;1;126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6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18">
        <f>ROUND(MACRO!F2,2)</f>
        <v>700</v>
      </c>
      <c r="G31" s="72" t="str">
        <f t="shared" si="1"/>
        <v>A2;MontoImpuestoBase;1;700</v>
      </c>
    </row>
    <row r="32" spans="1:14" x14ac:dyDescent="0.25">
      <c r="A32" t="s">
        <v>6</v>
      </c>
      <c r="B32" t="s">
        <v>37</v>
      </c>
      <c r="C32" t="s">
        <v>38</v>
      </c>
      <c r="D32" s="206">
        <v>1</v>
      </c>
      <c r="E32" s="215">
        <f>MACRO!A15</f>
        <v>1</v>
      </c>
      <c r="G32" s="72" t="str">
        <f t="shared" si="1"/>
        <v>B;NroLinDet;1;1</v>
      </c>
      <c r="L32" s="209"/>
      <c r="N32" s="209"/>
    </row>
    <row r="33" spans="1:14" x14ac:dyDescent="0.25">
      <c r="A33" t="s">
        <v>6</v>
      </c>
      <c r="B33" t="s">
        <v>37</v>
      </c>
      <c r="C33" t="s">
        <v>39</v>
      </c>
      <c r="D33" s="206">
        <v>1</v>
      </c>
      <c r="E33" s="37">
        <f>MACRO!$B$15</f>
        <v>1</v>
      </c>
      <c r="G33" s="72" t="str">
        <f t="shared" si="1"/>
        <v>B;QtyItem;1;1</v>
      </c>
      <c r="L33" s="209"/>
      <c r="N33" s="209"/>
    </row>
    <row r="34" spans="1:14" x14ac:dyDescent="0.25">
      <c r="A34" t="s">
        <v>6</v>
      </c>
      <c r="B34" t="s">
        <v>37</v>
      </c>
      <c r="C34" t="s">
        <v>40</v>
      </c>
      <c r="D34" s="206">
        <v>1</v>
      </c>
      <c r="E34" t="s">
        <v>54</v>
      </c>
      <c r="F34" s="14"/>
      <c r="G34" s="72" t="str">
        <f t="shared" si="1"/>
        <v>B;UnmdItem;1;NIU</v>
      </c>
      <c r="L34" s="209"/>
      <c r="N34" s="209"/>
    </row>
    <row r="35" spans="1:14" x14ac:dyDescent="0.25">
      <c r="A35" t="s">
        <v>6</v>
      </c>
      <c r="B35" t="s">
        <v>37</v>
      </c>
      <c r="C35" t="s">
        <v>41</v>
      </c>
      <c r="D35" s="206">
        <v>1</v>
      </c>
      <c r="E35" s="65">
        <f>MACRO!$C$15</f>
        <v>14</v>
      </c>
      <c r="G35" s="72" t="str">
        <f t="shared" si="1"/>
        <v>B;VlrCodigo;1;14</v>
      </c>
      <c r="L35" s="209"/>
      <c r="N35" s="209"/>
    </row>
    <row r="36" spans="1:14" x14ac:dyDescent="0.25">
      <c r="A36" t="s">
        <v>6</v>
      </c>
      <c r="B36" t="s">
        <v>37</v>
      </c>
      <c r="C36" t="s">
        <v>42</v>
      </c>
      <c r="D36" s="206">
        <v>1</v>
      </c>
      <c r="E36" s="71" t="str">
        <f>MACRO!$D$15</f>
        <v>ITEM1</v>
      </c>
      <c r="F36" s="14"/>
      <c r="G36" s="72" t="str">
        <f t="shared" ref="G36:G99" si="2">IF($A36="go",CONCATENATE($B36,";",$C36,";",$D36,";",$E36),"")</f>
        <v>B;NmbItem;1;ITEM1</v>
      </c>
      <c r="L36" s="209"/>
      <c r="N36" s="209"/>
    </row>
    <row r="37" spans="1:14" x14ac:dyDescent="0.25">
      <c r="A37" t="s">
        <v>6</v>
      </c>
      <c r="B37" t="s">
        <v>37</v>
      </c>
      <c r="C37" t="s">
        <v>43</v>
      </c>
      <c r="D37" s="206">
        <v>1</v>
      </c>
      <c r="E37" s="211">
        <f>MACRO!$F$15</f>
        <v>826</v>
      </c>
      <c r="G37" s="72" t="str">
        <f t="shared" si="2"/>
        <v>B;PrcItem;1;826</v>
      </c>
      <c r="L37" s="209"/>
      <c r="N37" s="209"/>
    </row>
    <row r="38" spans="1:14" x14ac:dyDescent="0.25">
      <c r="A38" t="s">
        <v>6</v>
      </c>
      <c r="B38" t="s">
        <v>37</v>
      </c>
      <c r="C38" t="s">
        <v>44</v>
      </c>
      <c r="D38" s="206">
        <v>1</v>
      </c>
      <c r="E38" s="212">
        <f>MACRO!$G$15</f>
        <v>700</v>
      </c>
      <c r="G38" s="72" t="str">
        <f t="shared" si="2"/>
        <v>B;PrcItemSinIgv;1;700</v>
      </c>
      <c r="L38" s="209"/>
      <c r="N38" s="209"/>
    </row>
    <row r="39" spans="1:14" x14ac:dyDescent="0.25">
      <c r="A39" t="s">
        <v>6</v>
      </c>
      <c r="B39" t="s">
        <v>37</v>
      </c>
      <c r="C39" s="16" t="s">
        <v>45</v>
      </c>
      <c r="D39" s="206">
        <v>1</v>
      </c>
      <c r="E39" s="71">
        <f>ROUND(MACRO!$J$15,2)</f>
        <v>700</v>
      </c>
      <c r="G39" s="72" t="str">
        <f t="shared" si="2"/>
        <v>B;MontoItem;1;700</v>
      </c>
      <c r="L39" s="209"/>
      <c r="N39" s="209"/>
    </row>
    <row r="40" spans="1:14" x14ac:dyDescent="0.25">
      <c r="A40" t="s">
        <v>6</v>
      </c>
      <c r="B40" t="s">
        <v>37</v>
      </c>
      <c r="C40" t="s">
        <v>46</v>
      </c>
      <c r="D40" s="206">
        <v>1</v>
      </c>
      <c r="E40" s="1">
        <f>IF($E$41=10,1000,9996)</f>
        <v>1000</v>
      </c>
      <c r="F40" s="14"/>
      <c r="G40" s="72" t="str">
        <f t="shared" si="2"/>
        <v>B;CodigoTipoIgv;1;1000</v>
      </c>
      <c r="L40" s="209"/>
      <c r="N40" s="209"/>
    </row>
    <row r="41" spans="1:14" x14ac:dyDescent="0.25">
      <c r="A41" t="s">
        <v>6</v>
      </c>
      <c r="B41" t="s">
        <v>37</v>
      </c>
      <c r="C41" t="s">
        <v>47</v>
      </c>
      <c r="D41" s="206">
        <v>1</v>
      </c>
      <c r="E41" s="210">
        <f>MACRO!$H$15</f>
        <v>10</v>
      </c>
      <c r="F41" s="14"/>
      <c r="G41" s="72" t="str">
        <f t="shared" si="2"/>
        <v>B;IndExe;1;10</v>
      </c>
      <c r="L41" s="209"/>
      <c r="N41" s="209"/>
    </row>
    <row r="42" spans="1:14" x14ac:dyDescent="0.25">
      <c r="A42" t="s">
        <v>6</v>
      </c>
      <c r="B42" t="s">
        <v>37</v>
      </c>
      <c r="C42" t="s">
        <v>48</v>
      </c>
      <c r="D42" s="206">
        <v>1</v>
      </c>
      <c r="E42" s="210">
        <f>MACRO!I15</f>
        <v>126</v>
      </c>
      <c r="F42" s="14"/>
      <c r="G42" s="72" t="str">
        <f t="shared" si="2"/>
        <v>B;TasaIgv;1;126</v>
      </c>
      <c r="L42" s="209"/>
      <c r="N42" s="209"/>
    </row>
    <row r="43" spans="1:14" x14ac:dyDescent="0.25">
      <c r="A43" t="s">
        <v>6</v>
      </c>
      <c r="B43" t="s">
        <v>37</v>
      </c>
      <c r="C43" s="16" t="s">
        <v>49</v>
      </c>
      <c r="D43" s="206">
        <v>1</v>
      </c>
      <c r="E43" s="71">
        <f>ROUND(MACRO!$I$15,2)</f>
        <v>126</v>
      </c>
      <c r="G43" s="72" t="str">
        <f t="shared" si="2"/>
        <v>B;ImpuestoIgv;1;126</v>
      </c>
      <c r="L43" s="209"/>
      <c r="N43" s="209"/>
    </row>
    <row r="44" spans="1:14" x14ac:dyDescent="0.25">
      <c r="A44" t="s">
        <v>6</v>
      </c>
      <c r="B44" t="s">
        <v>37</v>
      </c>
      <c r="C44" t="s">
        <v>110</v>
      </c>
      <c r="D44" s="206">
        <v>1</v>
      </c>
      <c r="E44" s="11">
        <f>MACRO!E15</f>
        <v>0</v>
      </c>
      <c r="G44" s="72" t="str">
        <f t="shared" si="2"/>
        <v>B;CodigoProductoSuna;1;0</v>
      </c>
      <c r="L44" s="209"/>
      <c r="N44" s="209"/>
    </row>
    <row r="45" spans="1:14" x14ac:dyDescent="0.25">
      <c r="A45" t="str">
        <f>A46</f>
        <v>go</v>
      </c>
      <c r="B45" t="s">
        <v>37</v>
      </c>
      <c r="C45" t="s">
        <v>38</v>
      </c>
      <c r="D45" s="206">
        <f>IF(C45="NroLinDet",D44+1,D44)</f>
        <v>2</v>
      </c>
      <c r="E45" s="215">
        <f>MACRO!A16</f>
        <v>2</v>
      </c>
      <c r="G45" s="72" t="str">
        <f t="shared" si="2"/>
        <v>B;NroLinDet;2;2</v>
      </c>
      <c r="L45" s="209"/>
      <c r="N45" s="209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6">
        <f t="shared" ref="D46:D109" si="3">IF(C46="NroLinDet",D45+1,D45)</f>
        <v>2</v>
      </c>
      <c r="E46" s="37">
        <f>MACRO!$B$16</f>
        <v>2</v>
      </c>
      <c r="G46" s="72" t="str">
        <f>IF($A46="go",CONCATENATE($B46,";",$C46,";",$D46,";",$E46),"")</f>
        <v>B;QtyItem;2;2</v>
      </c>
      <c r="L46" s="209"/>
      <c r="N46" s="209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6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9"/>
      <c r="N47" s="209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6">
        <f t="shared" si="3"/>
        <v>2</v>
      </c>
      <c r="E48" s="65">
        <f>MACRO!$C$16</f>
        <v>14</v>
      </c>
      <c r="G48" s="72" t="str">
        <f t="shared" si="2"/>
        <v>B;VlrCodigo;2;14</v>
      </c>
      <c r="L48" s="209"/>
      <c r="N48" s="209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6">
        <f t="shared" si="3"/>
        <v>2</v>
      </c>
      <c r="E49" s="71" t="str">
        <f>MACRO!$D$16</f>
        <v>ITEM1</v>
      </c>
      <c r="F49" s="14"/>
      <c r="G49" s="72" t="str">
        <f t="shared" si="2"/>
        <v>B;NmbItem;2;ITEM1</v>
      </c>
      <c r="L49" s="209"/>
      <c r="N49" s="209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6">
        <f t="shared" si="3"/>
        <v>2</v>
      </c>
      <c r="E50" s="211">
        <f>MACRO!$F$16</f>
        <v>826</v>
      </c>
      <c r="G50" s="72" t="str">
        <f t="shared" si="2"/>
        <v>B;PrcItem;2;826</v>
      </c>
      <c r="L50" s="209"/>
      <c r="N50" s="209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6">
        <f t="shared" si="3"/>
        <v>2</v>
      </c>
      <c r="E51" s="212">
        <f>MACRO!$G$16</f>
        <v>700</v>
      </c>
      <c r="G51" s="72" t="str">
        <f t="shared" si="2"/>
        <v>B;PrcItemSinIgv;2;700</v>
      </c>
      <c r="L51" s="209"/>
      <c r="N51" s="209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6">
        <f t="shared" si="3"/>
        <v>2</v>
      </c>
      <c r="E52" s="71">
        <f>ROUND(MACRO!$J$16,2)</f>
        <v>700</v>
      </c>
      <c r="G52" s="72" t="str">
        <f t="shared" si="2"/>
        <v>B;MontoItem;2;700</v>
      </c>
      <c r="L52" s="209"/>
      <c r="N52" s="209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6">
        <f t="shared" si="3"/>
        <v>2</v>
      </c>
      <c r="E53" s="1">
        <f>IF($E$41=10,1000,9996)</f>
        <v>1000</v>
      </c>
      <c r="F53" s="14"/>
      <c r="G53" s="72" t="str">
        <f t="shared" si="2"/>
        <v>B;CodigoTipoIgv;2;1000</v>
      </c>
      <c r="L53" s="209"/>
      <c r="N53" s="209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6">
        <f t="shared" si="3"/>
        <v>2</v>
      </c>
      <c r="E54" s="70">
        <f>MACRO!$H$16</f>
        <v>10</v>
      </c>
      <c r="F54" s="14"/>
      <c r="G54" s="72" t="str">
        <f t="shared" si="2"/>
        <v>B;IndExe;2;10</v>
      </c>
      <c r="L54" s="209"/>
      <c r="N54" s="209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6">
        <f t="shared" si="3"/>
        <v>2</v>
      </c>
      <c r="E55" s="210">
        <f>MACRO!I16</f>
        <v>126</v>
      </c>
      <c r="F55" s="14"/>
      <c r="G55" s="72" t="str">
        <f t="shared" si="2"/>
        <v>B;TasaIgv;2;126</v>
      </c>
      <c r="L55" s="209"/>
      <c r="N55" s="209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6">
        <f t="shared" si="3"/>
        <v>2</v>
      </c>
      <c r="E56" s="71">
        <f>ROUND(MACRO!$I$16,2)</f>
        <v>126</v>
      </c>
      <c r="G56" s="72" t="str">
        <f t="shared" si="2"/>
        <v>B;ImpuestoIgv;2;126</v>
      </c>
      <c r="L56" s="209"/>
      <c r="N56" s="209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6">
        <f t="shared" si="3"/>
        <v>2</v>
      </c>
      <c r="E57" s="11">
        <f>MACRO!E16</f>
        <v>0</v>
      </c>
      <c r="G57" s="72" t="str">
        <f t="shared" si="2"/>
        <v>B;CodigoProductoSuna;2;0</v>
      </c>
      <c r="L57" s="209"/>
      <c r="N57" s="209"/>
    </row>
    <row r="58" spans="1:14" x14ac:dyDescent="0.25">
      <c r="A58" t="str">
        <f>A59</f>
        <v>go</v>
      </c>
      <c r="B58" t="s">
        <v>37</v>
      </c>
      <c r="C58" t="s">
        <v>38</v>
      </c>
      <c r="D58" s="206">
        <f t="shared" si="3"/>
        <v>3</v>
      </c>
      <c r="E58" s="215">
        <f>MACRO!A17</f>
        <v>3</v>
      </c>
      <c r="G58" s="72" t="str">
        <f t="shared" si="2"/>
        <v>B;NroLinDet;3;3</v>
      </c>
      <c r="L58" s="209"/>
      <c r="N58" s="209"/>
    </row>
    <row r="59" spans="1:14" x14ac:dyDescent="0.25">
      <c r="A59" t="str">
        <f>IF(E59&gt;0,"go","null")</f>
        <v>go</v>
      </c>
      <c r="B59" t="s">
        <v>37</v>
      </c>
      <c r="C59" t="s">
        <v>39</v>
      </c>
      <c r="D59" s="206">
        <f t="shared" si="3"/>
        <v>3</v>
      </c>
      <c r="E59" s="37">
        <f>MACRO!$B$17</f>
        <v>3</v>
      </c>
      <c r="G59" s="72" t="str">
        <f t="shared" si="2"/>
        <v>B;QtyItem;3;3</v>
      </c>
      <c r="L59" s="209"/>
      <c r="N59" s="209"/>
    </row>
    <row r="60" spans="1:14" x14ac:dyDescent="0.25">
      <c r="A60" t="str">
        <f t="shared" ref="A60:A70" si="5">A59</f>
        <v>go</v>
      </c>
      <c r="B60" t="s">
        <v>37</v>
      </c>
      <c r="C60" t="s">
        <v>40</v>
      </c>
      <c r="D60" s="206">
        <f t="shared" si="3"/>
        <v>3</v>
      </c>
      <c r="E60" t="s">
        <v>54</v>
      </c>
      <c r="F60" s="14"/>
      <c r="G60" s="72" t="str">
        <f t="shared" si="2"/>
        <v>B;UnmdItem;3;NIU</v>
      </c>
      <c r="L60" s="209"/>
      <c r="N60" s="209"/>
    </row>
    <row r="61" spans="1:14" x14ac:dyDescent="0.25">
      <c r="A61" t="str">
        <f t="shared" si="5"/>
        <v>go</v>
      </c>
      <c r="B61" t="s">
        <v>37</v>
      </c>
      <c r="C61" t="s">
        <v>41</v>
      </c>
      <c r="D61" s="206">
        <f t="shared" si="3"/>
        <v>3</v>
      </c>
      <c r="E61" s="65">
        <f>MACRO!$C$17</f>
        <v>14</v>
      </c>
      <c r="G61" s="72" t="str">
        <f t="shared" si="2"/>
        <v>B;VlrCodigo;3;14</v>
      </c>
      <c r="L61" s="209"/>
      <c r="N61" s="209"/>
    </row>
    <row r="62" spans="1:14" x14ac:dyDescent="0.25">
      <c r="A62" t="str">
        <f t="shared" si="5"/>
        <v>go</v>
      </c>
      <c r="B62" t="s">
        <v>37</v>
      </c>
      <c r="C62" t="s">
        <v>42</v>
      </c>
      <c r="D62" s="206">
        <f t="shared" si="3"/>
        <v>3</v>
      </c>
      <c r="E62" s="71" t="str">
        <f>MACRO!$D$17</f>
        <v>ITEM1</v>
      </c>
      <c r="F62" s="14"/>
      <c r="G62" s="72" t="str">
        <f t="shared" si="2"/>
        <v>B;NmbItem;3;ITEM1</v>
      </c>
      <c r="L62" s="209"/>
      <c r="N62" s="209"/>
    </row>
    <row r="63" spans="1:14" x14ac:dyDescent="0.25">
      <c r="A63" t="str">
        <f t="shared" si="5"/>
        <v>go</v>
      </c>
      <c r="B63" t="s">
        <v>37</v>
      </c>
      <c r="C63" t="s">
        <v>43</v>
      </c>
      <c r="D63" s="206">
        <f t="shared" si="3"/>
        <v>3</v>
      </c>
      <c r="E63" s="211">
        <f>MACRO!$F$17</f>
        <v>826</v>
      </c>
      <c r="G63" s="72" t="str">
        <f t="shared" si="2"/>
        <v>B;PrcItem;3;826</v>
      </c>
      <c r="L63" s="209"/>
      <c r="N63" s="209"/>
    </row>
    <row r="64" spans="1:14" x14ac:dyDescent="0.25">
      <c r="A64" t="str">
        <f t="shared" si="5"/>
        <v>go</v>
      </c>
      <c r="B64" t="s">
        <v>37</v>
      </c>
      <c r="C64" t="s">
        <v>44</v>
      </c>
      <c r="D64" s="206">
        <f t="shared" si="3"/>
        <v>3</v>
      </c>
      <c r="E64" s="212">
        <f>MACRO!$G$17</f>
        <v>700</v>
      </c>
      <c r="G64" s="72" t="str">
        <f t="shared" si="2"/>
        <v>B;PrcItemSinIgv;3;700</v>
      </c>
      <c r="L64" s="209"/>
      <c r="N64" s="209"/>
    </row>
    <row r="65" spans="1:14" x14ac:dyDescent="0.25">
      <c r="A65" t="str">
        <f t="shared" si="5"/>
        <v>go</v>
      </c>
      <c r="B65" t="s">
        <v>37</v>
      </c>
      <c r="C65" s="16" t="s">
        <v>45</v>
      </c>
      <c r="D65" s="206">
        <f t="shared" si="3"/>
        <v>3</v>
      </c>
      <c r="E65" s="71">
        <f>ROUND(MACRO!$J$17,2)</f>
        <v>700</v>
      </c>
      <c r="G65" s="72" t="str">
        <f t="shared" si="2"/>
        <v>B;MontoItem;3;700</v>
      </c>
      <c r="L65" s="209"/>
      <c r="N65" s="209"/>
    </row>
    <row r="66" spans="1:14" x14ac:dyDescent="0.25">
      <c r="A66" t="str">
        <f t="shared" si="5"/>
        <v>go</v>
      </c>
      <c r="B66" t="s">
        <v>37</v>
      </c>
      <c r="C66" t="s">
        <v>46</v>
      </c>
      <c r="D66" s="206">
        <f t="shared" si="3"/>
        <v>3</v>
      </c>
      <c r="E66" s="1">
        <f>IF($E$41=10,1000,9996)</f>
        <v>1000</v>
      </c>
      <c r="F66" s="14"/>
      <c r="G66" s="72" t="str">
        <f t="shared" si="2"/>
        <v>B;CodigoTipoIgv;3;1000</v>
      </c>
      <c r="L66" s="209"/>
      <c r="N66" s="209"/>
    </row>
    <row r="67" spans="1:14" x14ac:dyDescent="0.25">
      <c r="A67" t="str">
        <f t="shared" si="5"/>
        <v>go</v>
      </c>
      <c r="B67" t="s">
        <v>37</v>
      </c>
      <c r="C67" t="s">
        <v>47</v>
      </c>
      <c r="D67" s="206">
        <f t="shared" si="3"/>
        <v>3</v>
      </c>
      <c r="E67" s="70">
        <f>MACRO!$H$17</f>
        <v>10</v>
      </c>
      <c r="F67" s="14"/>
      <c r="G67" s="72" t="str">
        <f t="shared" si="2"/>
        <v>B;IndExe;3;10</v>
      </c>
      <c r="L67" s="209"/>
      <c r="N67" s="209"/>
    </row>
    <row r="68" spans="1:14" x14ac:dyDescent="0.25">
      <c r="A68" t="str">
        <f t="shared" si="5"/>
        <v>go</v>
      </c>
      <c r="B68" t="s">
        <v>37</v>
      </c>
      <c r="C68" t="s">
        <v>48</v>
      </c>
      <c r="D68" s="206">
        <f t="shared" si="3"/>
        <v>3</v>
      </c>
      <c r="E68" s="210">
        <f>MACRO!I17</f>
        <v>126</v>
      </c>
      <c r="F68" s="14"/>
      <c r="G68" s="72" t="str">
        <f t="shared" si="2"/>
        <v>B;TasaIgv;3;126</v>
      </c>
      <c r="L68" s="209"/>
      <c r="N68" s="209"/>
    </row>
    <row r="69" spans="1:14" x14ac:dyDescent="0.25">
      <c r="A69" t="str">
        <f t="shared" si="5"/>
        <v>go</v>
      </c>
      <c r="B69" t="s">
        <v>37</v>
      </c>
      <c r="C69" s="16" t="s">
        <v>49</v>
      </c>
      <c r="D69" s="206">
        <f t="shared" si="3"/>
        <v>3</v>
      </c>
      <c r="E69" s="71">
        <f>ROUND(MACRO!$I$17,2)</f>
        <v>126</v>
      </c>
      <c r="G69" s="72" t="str">
        <f t="shared" si="2"/>
        <v>B;ImpuestoIgv;3;126</v>
      </c>
      <c r="L69" s="209"/>
      <c r="N69" s="209"/>
    </row>
    <row r="70" spans="1:14" x14ac:dyDescent="0.25">
      <c r="A70" t="str">
        <f t="shared" si="5"/>
        <v>go</v>
      </c>
      <c r="B70" t="s">
        <v>37</v>
      </c>
      <c r="C70" t="s">
        <v>110</v>
      </c>
      <c r="D70" s="206">
        <f t="shared" si="3"/>
        <v>3</v>
      </c>
      <c r="E70" s="11">
        <f>MACRO!E17</f>
        <v>0</v>
      </c>
      <c r="G70" s="72" t="str">
        <f t="shared" si="2"/>
        <v>B;CodigoProductoSuna;3;0</v>
      </c>
      <c r="L70" s="209"/>
      <c r="N70" s="209"/>
    </row>
    <row r="71" spans="1:14" x14ac:dyDescent="0.25">
      <c r="A71" t="str">
        <f>A72</f>
        <v>null</v>
      </c>
      <c r="B71" t="s">
        <v>37</v>
      </c>
      <c r="C71" t="s">
        <v>38</v>
      </c>
      <c r="D71" s="206">
        <f t="shared" si="3"/>
        <v>4</v>
      </c>
      <c r="E71" s="215">
        <f>MACRO!A18</f>
        <v>4</v>
      </c>
      <c r="G71" s="72" t="str">
        <f t="shared" si="2"/>
        <v/>
      </c>
      <c r="L71" s="209"/>
      <c r="N71" s="209"/>
    </row>
    <row r="72" spans="1:14" x14ac:dyDescent="0.25">
      <c r="A72" t="str">
        <f>IF(E72&gt;0,"go","null")</f>
        <v>null</v>
      </c>
      <c r="B72" t="s">
        <v>37</v>
      </c>
      <c r="C72" t="s">
        <v>39</v>
      </c>
      <c r="D72" s="206">
        <f t="shared" si="3"/>
        <v>4</v>
      </c>
      <c r="E72" s="37">
        <f>MACRO!$B$18</f>
        <v>0</v>
      </c>
      <c r="G72" s="72" t="str">
        <f t="shared" si="2"/>
        <v/>
      </c>
      <c r="L72" s="209"/>
      <c r="N72" s="209"/>
    </row>
    <row r="73" spans="1:14" x14ac:dyDescent="0.25">
      <c r="A73" t="str">
        <f t="shared" ref="A73:A83" si="6">A72</f>
        <v>null</v>
      </c>
      <c r="B73" t="s">
        <v>37</v>
      </c>
      <c r="C73" t="s">
        <v>40</v>
      </c>
      <c r="D73" s="206">
        <f t="shared" si="3"/>
        <v>4</v>
      </c>
      <c r="E73" t="s">
        <v>54</v>
      </c>
      <c r="F73" s="14"/>
      <c r="G73" s="72" t="str">
        <f t="shared" si="2"/>
        <v/>
      </c>
      <c r="L73" s="209"/>
      <c r="N73" s="209"/>
    </row>
    <row r="74" spans="1:14" x14ac:dyDescent="0.25">
      <c r="A74" t="str">
        <f t="shared" si="6"/>
        <v>null</v>
      </c>
      <c r="B74" t="s">
        <v>37</v>
      </c>
      <c r="C74" t="s">
        <v>41</v>
      </c>
      <c r="D74" s="206">
        <f t="shared" si="3"/>
        <v>4</v>
      </c>
      <c r="E74" s="65">
        <f>MACRO!$C$18</f>
        <v>0</v>
      </c>
      <c r="G74" s="72" t="str">
        <f t="shared" si="2"/>
        <v/>
      </c>
      <c r="L74" s="209"/>
      <c r="N74" s="209"/>
    </row>
    <row r="75" spans="1:14" x14ac:dyDescent="0.25">
      <c r="A75" t="str">
        <f t="shared" si="6"/>
        <v>null</v>
      </c>
      <c r="B75" t="s">
        <v>37</v>
      </c>
      <c r="C75" t="s">
        <v>42</v>
      </c>
      <c r="D75" s="206">
        <f t="shared" si="3"/>
        <v>4</v>
      </c>
      <c r="E75" s="71">
        <f>MACRO!$D$18</f>
        <v>0</v>
      </c>
      <c r="F75" s="14"/>
      <c r="G75" s="72" t="str">
        <f t="shared" si="2"/>
        <v/>
      </c>
      <c r="L75" s="209"/>
      <c r="N75" s="209"/>
    </row>
    <row r="76" spans="1:14" x14ac:dyDescent="0.25">
      <c r="A76" t="str">
        <f t="shared" si="6"/>
        <v>null</v>
      </c>
      <c r="B76" t="s">
        <v>37</v>
      </c>
      <c r="C76" t="s">
        <v>43</v>
      </c>
      <c r="D76" s="206">
        <f t="shared" si="3"/>
        <v>4</v>
      </c>
      <c r="E76" s="211">
        <f>MACRO!$F$18</f>
        <v>0</v>
      </c>
      <c r="G76" s="72" t="str">
        <f t="shared" si="2"/>
        <v/>
      </c>
      <c r="L76" s="209"/>
      <c r="N76" s="209"/>
    </row>
    <row r="77" spans="1:14" x14ac:dyDescent="0.25">
      <c r="A77" t="str">
        <f t="shared" si="6"/>
        <v>null</v>
      </c>
      <c r="B77" t="s">
        <v>37</v>
      </c>
      <c r="C77" t="s">
        <v>44</v>
      </c>
      <c r="D77" s="206">
        <f t="shared" si="3"/>
        <v>4</v>
      </c>
      <c r="E77" s="212">
        <f>MACRO!$G$18</f>
        <v>0</v>
      </c>
      <c r="G77" s="72" t="str">
        <f t="shared" si="2"/>
        <v/>
      </c>
      <c r="L77" s="209"/>
      <c r="N77" s="209"/>
    </row>
    <row r="78" spans="1:14" x14ac:dyDescent="0.25">
      <c r="A78" t="str">
        <f t="shared" si="6"/>
        <v>null</v>
      </c>
      <c r="B78" t="s">
        <v>37</v>
      </c>
      <c r="C78" s="16" t="s">
        <v>45</v>
      </c>
      <c r="D78" s="206">
        <f t="shared" si="3"/>
        <v>4</v>
      </c>
      <c r="E78" s="71">
        <f>ROUND(MACRO!$J$18,2)</f>
        <v>0</v>
      </c>
      <c r="G78" s="72" t="str">
        <f t="shared" si="2"/>
        <v/>
      </c>
      <c r="L78" s="209"/>
      <c r="N78" s="209"/>
    </row>
    <row r="79" spans="1:14" x14ac:dyDescent="0.25">
      <c r="A79" t="str">
        <f t="shared" si="6"/>
        <v>null</v>
      </c>
      <c r="B79" t="s">
        <v>37</v>
      </c>
      <c r="C79" t="s">
        <v>46</v>
      </c>
      <c r="D79" s="206">
        <f t="shared" si="3"/>
        <v>4</v>
      </c>
      <c r="E79" s="1">
        <f>IF($E$41=10,1000,9996)</f>
        <v>1000</v>
      </c>
      <c r="F79" s="14"/>
      <c r="G79" s="72" t="str">
        <f t="shared" si="2"/>
        <v/>
      </c>
      <c r="L79" s="209"/>
      <c r="N79" s="209"/>
    </row>
    <row r="80" spans="1:14" x14ac:dyDescent="0.25">
      <c r="A80" t="str">
        <f t="shared" si="6"/>
        <v>null</v>
      </c>
      <c r="B80" t="s">
        <v>37</v>
      </c>
      <c r="C80" t="s">
        <v>47</v>
      </c>
      <c r="D80" s="206">
        <f t="shared" si="3"/>
        <v>4</v>
      </c>
      <c r="E80" s="70">
        <f>MACRO!$H$18</f>
        <v>0</v>
      </c>
      <c r="F80" s="14"/>
      <c r="G80" s="72" t="str">
        <f t="shared" si="2"/>
        <v/>
      </c>
      <c r="L80" s="209"/>
      <c r="N80" s="209"/>
    </row>
    <row r="81" spans="1:14" x14ac:dyDescent="0.25">
      <c r="A81" t="str">
        <f t="shared" si="6"/>
        <v>null</v>
      </c>
      <c r="B81" t="s">
        <v>37</v>
      </c>
      <c r="C81" t="s">
        <v>48</v>
      </c>
      <c r="D81" s="206">
        <f t="shared" si="3"/>
        <v>4</v>
      </c>
      <c r="E81" s="210">
        <f>MACRO!I18</f>
        <v>0</v>
      </c>
      <c r="F81" s="14"/>
      <c r="G81" s="72" t="str">
        <f t="shared" si="2"/>
        <v/>
      </c>
      <c r="L81" s="209"/>
      <c r="N81" s="209"/>
    </row>
    <row r="82" spans="1:14" x14ac:dyDescent="0.25">
      <c r="A82" t="str">
        <f t="shared" si="6"/>
        <v>null</v>
      </c>
      <c r="B82" t="s">
        <v>37</v>
      </c>
      <c r="C82" s="16" t="s">
        <v>49</v>
      </c>
      <c r="D82" s="206">
        <f t="shared" si="3"/>
        <v>4</v>
      </c>
      <c r="E82" s="71">
        <f>ROUND(MACRO!$I$18,2)</f>
        <v>0</v>
      </c>
      <c r="G82" s="72" t="str">
        <f t="shared" si="2"/>
        <v/>
      </c>
      <c r="L82" s="209"/>
      <c r="N82" s="209"/>
    </row>
    <row r="83" spans="1:14" x14ac:dyDescent="0.25">
      <c r="A83" t="str">
        <f t="shared" si="6"/>
        <v>null</v>
      </c>
      <c r="B83" t="s">
        <v>37</v>
      </c>
      <c r="C83" t="s">
        <v>110</v>
      </c>
      <c r="D83" s="206">
        <f t="shared" si="3"/>
        <v>4</v>
      </c>
      <c r="E83" s="11">
        <f>MACRO!E18</f>
        <v>0</v>
      </c>
      <c r="G83" s="72" t="str">
        <f t="shared" si="2"/>
        <v/>
      </c>
      <c r="L83" s="209"/>
      <c r="N83" s="209"/>
    </row>
    <row r="84" spans="1:14" x14ac:dyDescent="0.25">
      <c r="A84" t="str">
        <f>A85</f>
        <v>null</v>
      </c>
      <c r="B84" t="s">
        <v>37</v>
      </c>
      <c r="C84" t="s">
        <v>38</v>
      </c>
      <c r="D84" s="206">
        <f t="shared" si="3"/>
        <v>5</v>
      </c>
      <c r="E84" s="215">
        <f>MACRO!A19</f>
        <v>5</v>
      </c>
      <c r="G84" s="72" t="str">
        <f t="shared" si="2"/>
        <v/>
      </c>
      <c r="L84" s="209"/>
      <c r="N84" s="209"/>
    </row>
    <row r="85" spans="1:14" x14ac:dyDescent="0.25">
      <c r="A85" t="str">
        <f>IF(E85&gt;0,"go","null")</f>
        <v>null</v>
      </c>
      <c r="B85" t="s">
        <v>37</v>
      </c>
      <c r="C85" t="s">
        <v>39</v>
      </c>
      <c r="D85" s="206">
        <f t="shared" si="3"/>
        <v>5</v>
      </c>
      <c r="E85" s="37">
        <f>MACRO!$B$19</f>
        <v>0</v>
      </c>
      <c r="G85" s="72" t="str">
        <f t="shared" si="2"/>
        <v/>
      </c>
      <c r="L85" s="209"/>
      <c r="N85" s="209"/>
    </row>
    <row r="86" spans="1:14" x14ac:dyDescent="0.25">
      <c r="A86" t="str">
        <f t="shared" ref="A86:A96" si="7">A85</f>
        <v>null</v>
      </c>
      <c r="B86" t="s">
        <v>37</v>
      </c>
      <c r="C86" t="s">
        <v>40</v>
      </c>
      <c r="D86" s="206">
        <f t="shared" si="3"/>
        <v>5</v>
      </c>
      <c r="E86" t="s">
        <v>54</v>
      </c>
      <c r="F86" s="14"/>
      <c r="G86" s="72" t="str">
        <f t="shared" si="2"/>
        <v/>
      </c>
      <c r="L86" s="209"/>
      <c r="N86" s="209"/>
    </row>
    <row r="87" spans="1:14" x14ac:dyDescent="0.25">
      <c r="A87" t="str">
        <f t="shared" si="7"/>
        <v>null</v>
      </c>
      <c r="B87" t="s">
        <v>37</v>
      </c>
      <c r="C87" t="s">
        <v>41</v>
      </c>
      <c r="D87" s="206">
        <f t="shared" si="3"/>
        <v>5</v>
      </c>
      <c r="E87" s="65">
        <f>MACRO!$C$19</f>
        <v>0</v>
      </c>
      <c r="G87" s="72" t="str">
        <f t="shared" si="2"/>
        <v/>
      </c>
      <c r="L87" s="209"/>
      <c r="N87" s="209"/>
    </row>
    <row r="88" spans="1:14" x14ac:dyDescent="0.25">
      <c r="A88" t="str">
        <f t="shared" si="7"/>
        <v>null</v>
      </c>
      <c r="B88" t="s">
        <v>37</v>
      </c>
      <c r="C88" t="s">
        <v>42</v>
      </c>
      <c r="D88" s="206">
        <f t="shared" si="3"/>
        <v>5</v>
      </c>
      <c r="E88" s="71">
        <f>MACRO!$D$19</f>
        <v>0</v>
      </c>
      <c r="F88" s="14"/>
      <c r="G88" s="72" t="str">
        <f t="shared" si="2"/>
        <v/>
      </c>
      <c r="L88" s="209"/>
      <c r="N88" s="209"/>
    </row>
    <row r="89" spans="1:14" x14ac:dyDescent="0.25">
      <c r="A89" t="str">
        <f t="shared" si="7"/>
        <v>null</v>
      </c>
      <c r="B89" t="s">
        <v>37</v>
      </c>
      <c r="C89" t="s">
        <v>43</v>
      </c>
      <c r="D89" s="206">
        <f t="shared" si="3"/>
        <v>5</v>
      </c>
      <c r="E89" s="211">
        <f>MACRO!$F$19</f>
        <v>0</v>
      </c>
      <c r="G89" s="72" t="str">
        <f t="shared" si="2"/>
        <v/>
      </c>
      <c r="L89" s="209"/>
      <c r="N89" s="209"/>
    </row>
    <row r="90" spans="1:14" x14ac:dyDescent="0.25">
      <c r="A90" t="str">
        <f t="shared" si="7"/>
        <v>null</v>
      </c>
      <c r="B90" t="s">
        <v>37</v>
      </c>
      <c r="C90" t="s">
        <v>44</v>
      </c>
      <c r="D90" s="206">
        <f t="shared" si="3"/>
        <v>5</v>
      </c>
      <c r="E90" s="212">
        <f>MACRO!$G$19</f>
        <v>0</v>
      </c>
      <c r="G90" s="72" t="str">
        <f t="shared" si="2"/>
        <v/>
      </c>
      <c r="L90" s="209"/>
      <c r="N90" s="209"/>
    </row>
    <row r="91" spans="1:14" x14ac:dyDescent="0.25">
      <c r="A91" t="str">
        <f t="shared" si="7"/>
        <v>null</v>
      </c>
      <c r="B91" t="s">
        <v>37</v>
      </c>
      <c r="C91" s="16" t="s">
        <v>45</v>
      </c>
      <c r="D91" s="206">
        <f t="shared" si="3"/>
        <v>5</v>
      </c>
      <c r="E91" s="71">
        <f>ROUND(MACRO!$J$19,2)</f>
        <v>0</v>
      </c>
      <c r="G91" s="72" t="str">
        <f t="shared" si="2"/>
        <v/>
      </c>
      <c r="L91" s="209"/>
      <c r="N91" s="209"/>
    </row>
    <row r="92" spans="1:14" x14ac:dyDescent="0.25">
      <c r="A92" t="str">
        <f t="shared" si="7"/>
        <v>null</v>
      </c>
      <c r="B92" t="s">
        <v>37</v>
      </c>
      <c r="C92" t="s">
        <v>46</v>
      </c>
      <c r="D92" s="206">
        <f t="shared" si="3"/>
        <v>5</v>
      </c>
      <c r="E92" s="1">
        <f>IF($E$41=10,1000,9996)</f>
        <v>1000</v>
      </c>
      <c r="F92" s="14"/>
      <c r="G92" s="72" t="str">
        <f t="shared" si="2"/>
        <v/>
      </c>
      <c r="L92" s="209"/>
      <c r="N92" s="209"/>
    </row>
    <row r="93" spans="1:14" x14ac:dyDescent="0.25">
      <c r="A93" t="str">
        <f t="shared" si="7"/>
        <v>null</v>
      </c>
      <c r="B93" t="s">
        <v>37</v>
      </c>
      <c r="C93" t="s">
        <v>47</v>
      </c>
      <c r="D93" s="206">
        <f t="shared" si="3"/>
        <v>5</v>
      </c>
      <c r="E93" s="70">
        <f>MACRO!$H$19</f>
        <v>0</v>
      </c>
      <c r="F93" s="14"/>
      <c r="G93" s="72" t="str">
        <f t="shared" si="2"/>
        <v/>
      </c>
      <c r="L93" s="209"/>
      <c r="N93" s="209"/>
    </row>
    <row r="94" spans="1:14" x14ac:dyDescent="0.25">
      <c r="A94" t="str">
        <f t="shared" si="7"/>
        <v>null</v>
      </c>
      <c r="B94" t="s">
        <v>37</v>
      </c>
      <c r="C94" t="s">
        <v>48</v>
      </c>
      <c r="D94" s="206">
        <f t="shared" si="3"/>
        <v>5</v>
      </c>
      <c r="E94" s="210">
        <f>MACRO!I19</f>
        <v>0</v>
      </c>
      <c r="F94" s="14"/>
      <c r="G94" s="72" t="str">
        <f t="shared" si="2"/>
        <v/>
      </c>
      <c r="L94" s="209"/>
      <c r="N94" s="209"/>
    </row>
    <row r="95" spans="1:14" x14ac:dyDescent="0.25">
      <c r="A95" t="str">
        <f t="shared" si="7"/>
        <v>null</v>
      </c>
      <c r="B95" t="s">
        <v>37</v>
      </c>
      <c r="C95" s="16" t="s">
        <v>49</v>
      </c>
      <c r="D95" s="206">
        <f t="shared" si="3"/>
        <v>5</v>
      </c>
      <c r="E95" s="71">
        <f>ROUND(MACRO!$I$19,2)</f>
        <v>0</v>
      </c>
      <c r="G95" s="72" t="str">
        <f t="shared" si="2"/>
        <v/>
      </c>
      <c r="L95" s="209"/>
      <c r="N95" s="209"/>
    </row>
    <row r="96" spans="1:14" x14ac:dyDescent="0.25">
      <c r="A96" t="str">
        <f t="shared" si="7"/>
        <v>null</v>
      </c>
      <c r="B96" t="s">
        <v>37</v>
      </c>
      <c r="C96" t="s">
        <v>110</v>
      </c>
      <c r="D96" s="206">
        <f t="shared" si="3"/>
        <v>5</v>
      </c>
      <c r="E96" s="11">
        <f>MACRO!E19</f>
        <v>0</v>
      </c>
      <c r="G96" s="72" t="str">
        <f t="shared" si="2"/>
        <v/>
      </c>
      <c r="L96" s="209"/>
      <c r="N96" s="209"/>
    </row>
    <row r="97" spans="1:14" x14ac:dyDescent="0.25">
      <c r="A97" t="str">
        <f>A98</f>
        <v>null</v>
      </c>
      <c r="B97" t="s">
        <v>37</v>
      </c>
      <c r="C97" t="s">
        <v>38</v>
      </c>
      <c r="D97" s="206">
        <f t="shared" si="3"/>
        <v>6</v>
      </c>
      <c r="E97" s="215">
        <f>MACRO!A20</f>
        <v>6</v>
      </c>
      <c r="G97" s="72" t="str">
        <f t="shared" si="2"/>
        <v/>
      </c>
      <c r="L97" s="209"/>
      <c r="N97" s="209"/>
    </row>
    <row r="98" spans="1:14" x14ac:dyDescent="0.25">
      <c r="A98" t="str">
        <f>IF(E98&gt;0,"go","null")</f>
        <v>null</v>
      </c>
      <c r="B98" t="s">
        <v>37</v>
      </c>
      <c r="C98" t="s">
        <v>39</v>
      </c>
      <c r="D98" s="206">
        <f t="shared" si="3"/>
        <v>6</v>
      </c>
      <c r="E98" s="37">
        <f>MACRO!$B$20</f>
        <v>0</v>
      </c>
      <c r="G98" s="72" t="str">
        <f t="shared" si="2"/>
        <v/>
      </c>
      <c r="L98" s="209"/>
      <c r="N98" s="209"/>
    </row>
    <row r="99" spans="1:14" x14ac:dyDescent="0.25">
      <c r="A99" t="str">
        <f t="shared" ref="A99:A109" si="8">A98</f>
        <v>null</v>
      </c>
      <c r="B99" t="s">
        <v>37</v>
      </c>
      <c r="C99" t="s">
        <v>40</v>
      </c>
      <c r="D99" s="206">
        <f t="shared" si="3"/>
        <v>6</v>
      </c>
      <c r="E99" t="s">
        <v>54</v>
      </c>
      <c r="F99" s="14"/>
      <c r="G99" s="72" t="str">
        <f t="shared" si="2"/>
        <v/>
      </c>
      <c r="L99" s="209"/>
      <c r="N99" s="209"/>
    </row>
    <row r="100" spans="1:14" x14ac:dyDescent="0.25">
      <c r="A100" t="str">
        <f t="shared" si="8"/>
        <v>null</v>
      </c>
      <c r="B100" t="s">
        <v>37</v>
      </c>
      <c r="C100" t="s">
        <v>41</v>
      </c>
      <c r="D100" s="206">
        <f t="shared" si="3"/>
        <v>6</v>
      </c>
      <c r="E100" s="65">
        <f>MACRO!$C$20</f>
        <v>0</v>
      </c>
      <c r="G100" s="72" t="str">
        <f t="shared" ref="G100:G163" si="9">IF($A100="go",CONCATENATE($B100,";",$C100,";",$D100,";",$E100),"")</f>
        <v/>
      </c>
      <c r="L100" s="209"/>
      <c r="N100" s="209"/>
    </row>
    <row r="101" spans="1:14" x14ac:dyDescent="0.25">
      <c r="A101" t="str">
        <f t="shared" si="8"/>
        <v>null</v>
      </c>
      <c r="B101" t="s">
        <v>37</v>
      </c>
      <c r="C101" t="s">
        <v>42</v>
      </c>
      <c r="D101" s="206">
        <f t="shared" si="3"/>
        <v>6</v>
      </c>
      <c r="E101" s="71">
        <f>MACRO!$D$20</f>
        <v>0</v>
      </c>
      <c r="F101" s="14"/>
      <c r="G101" s="72" t="str">
        <f t="shared" si="9"/>
        <v/>
      </c>
      <c r="L101" s="209"/>
      <c r="N101" s="209"/>
    </row>
    <row r="102" spans="1:14" x14ac:dyDescent="0.25">
      <c r="A102" t="str">
        <f t="shared" si="8"/>
        <v>null</v>
      </c>
      <c r="B102" t="s">
        <v>37</v>
      </c>
      <c r="C102" t="s">
        <v>43</v>
      </c>
      <c r="D102" s="206">
        <f t="shared" si="3"/>
        <v>6</v>
      </c>
      <c r="E102" s="211">
        <f>MACRO!$F$20</f>
        <v>0</v>
      </c>
      <c r="G102" s="72" t="str">
        <f t="shared" si="9"/>
        <v/>
      </c>
      <c r="L102" s="209"/>
      <c r="N102" s="209"/>
    </row>
    <row r="103" spans="1:14" x14ac:dyDescent="0.25">
      <c r="A103" t="str">
        <f t="shared" si="8"/>
        <v>null</v>
      </c>
      <c r="B103" t="s">
        <v>37</v>
      </c>
      <c r="C103" t="s">
        <v>44</v>
      </c>
      <c r="D103" s="206">
        <f t="shared" si="3"/>
        <v>6</v>
      </c>
      <c r="E103" s="212">
        <f>MACRO!$G$20</f>
        <v>0</v>
      </c>
      <c r="G103" s="72" t="str">
        <f t="shared" si="9"/>
        <v/>
      </c>
      <c r="L103" s="209"/>
      <c r="N103" s="209"/>
    </row>
    <row r="104" spans="1:14" x14ac:dyDescent="0.25">
      <c r="A104" t="str">
        <f t="shared" si="8"/>
        <v>null</v>
      </c>
      <c r="B104" t="s">
        <v>37</v>
      </c>
      <c r="C104" s="16" t="s">
        <v>45</v>
      </c>
      <c r="D104" s="206">
        <f t="shared" si="3"/>
        <v>6</v>
      </c>
      <c r="E104" s="71">
        <f>ROUND(MACRO!$J$20,2)</f>
        <v>0</v>
      </c>
      <c r="G104" s="72" t="str">
        <f t="shared" si="9"/>
        <v/>
      </c>
      <c r="L104" s="209"/>
      <c r="N104" s="209"/>
    </row>
    <row r="105" spans="1:14" x14ac:dyDescent="0.25">
      <c r="A105" t="str">
        <f t="shared" si="8"/>
        <v>null</v>
      </c>
      <c r="B105" t="s">
        <v>37</v>
      </c>
      <c r="C105" t="s">
        <v>46</v>
      </c>
      <c r="D105" s="206">
        <f t="shared" si="3"/>
        <v>6</v>
      </c>
      <c r="E105" s="1">
        <f>IF($E$41=10,1000,9996)</f>
        <v>1000</v>
      </c>
      <c r="F105" s="14"/>
      <c r="G105" s="72" t="str">
        <f t="shared" si="9"/>
        <v/>
      </c>
      <c r="L105" s="209"/>
      <c r="N105" s="209"/>
    </row>
    <row r="106" spans="1:14" x14ac:dyDescent="0.25">
      <c r="A106" t="str">
        <f t="shared" si="8"/>
        <v>null</v>
      </c>
      <c r="B106" t="s">
        <v>37</v>
      </c>
      <c r="C106" t="s">
        <v>47</v>
      </c>
      <c r="D106" s="206">
        <f t="shared" si="3"/>
        <v>6</v>
      </c>
      <c r="E106" s="70">
        <f>MACRO!$H$20</f>
        <v>0</v>
      </c>
      <c r="F106" s="14"/>
      <c r="G106" s="72" t="str">
        <f t="shared" si="9"/>
        <v/>
      </c>
      <c r="L106" s="209"/>
      <c r="N106" s="209"/>
    </row>
    <row r="107" spans="1:14" x14ac:dyDescent="0.25">
      <c r="A107" t="str">
        <f t="shared" si="8"/>
        <v>null</v>
      </c>
      <c r="B107" t="s">
        <v>37</v>
      </c>
      <c r="C107" t="s">
        <v>48</v>
      </c>
      <c r="D107" s="206">
        <f t="shared" si="3"/>
        <v>6</v>
      </c>
      <c r="E107" s="210">
        <f>MACRO!I20</f>
        <v>0</v>
      </c>
      <c r="F107" s="14"/>
      <c r="G107" s="72" t="str">
        <f t="shared" si="9"/>
        <v/>
      </c>
      <c r="L107" s="209"/>
      <c r="N107" s="209"/>
    </row>
    <row r="108" spans="1:14" x14ac:dyDescent="0.25">
      <c r="A108" t="str">
        <f t="shared" si="8"/>
        <v>null</v>
      </c>
      <c r="B108" t="s">
        <v>37</v>
      </c>
      <c r="C108" s="16" t="s">
        <v>49</v>
      </c>
      <c r="D108" s="206">
        <f t="shared" si="3"/>
        <v>6</v>
      </c>
      <c r="E108" s="71">
        <f>ROUND(MACRO!$I$20,2)</f>
        <v>0</v>
      </c>
      <c r="G108" s="72" t="str">
        <f t="shared" si="9"/>
        <v/>
      </c>
      <c r="L108" s="209"/>
      <c r="N108" s="209"/>
    </row>
    <row r="109" spans="1:14" x14ac:dyDescent="0.25">
      <c r="A109" t="str">
        <f t="shared" si="8"/>
        <v>null</v>
      </c>
      <c r="B109" t="s">
        <v>37</v>
      </c>
      <c r="C109" t="s">
        <v>110</v>
      </c>
      <c r="D109" s="206">
        <f t="shared" si="3"/>
        <v>6</v>
      </c>
      <c r="E109" s="11">
        <f>MACRO!E20</f>
        <v>0</v>
      </c>
      <c r="G109" s="72" t="str">
        <f t="shared" si="9"/>
        <v/>
      </c>
      <c r="L109" s="209"/>
      <c r="N109" s="209"/>
    </row>
    <row r="110" spans="1:14" x14ac:dyDescent="0.25">
      <c r="A110" t="str">
        <f>A111</f>
        <v>null</v>
      </c>
      <c r="B110" t="s">
        <v>37</v>
      </c>
      <c r="C110" t="s">
        <v>38</v>
      </c>
      <c r="D110" s="206">
        <f t="shared" ref="D110:D173" si="10">IF(C110="NroLinDet",D109+1,D109)</f>
        <v>7</v>
      </c>
      <c r="E110" s="215">
        <f>MACRO!A21</f>
        <v>7</v>
      </c>
      <c r="G110" s="72" t="str">
        <f t="shared" si="9"/>
        <v/>
      </c>
      <c r="L110" s="209"/>
      <c r="N110" s="209"/>
    </row>
    <row r="111" spans="1:14" x14ac:dyDescent="0.25">
      <c r="A111" t="str">
        <f>IF(E111&gt;0,"go","null")</f>
        <v>null</v>
      </c>
      <c r="B111" t="s">
        <v>37</v>
      </c>
      <c r="C111" t="s">
        <v>39</v>
      </c>
      <c r="D111" s="206">
        <f t="shared" si="10"/>
        <v>7</v>
      </c>
      <c r="E111" s="37">
        <f>MACRO!$B$21</f>
        <v>0</v>
      </c>
      <c r="G111" s="72" t="str">
        <f t="shared" si="9"/>
        <v/>
      </c>
      <c r="L111" s="209"/>
      <c r="N111" s="209"/>
    </row>
    <row r="112" spans="1:14" x14ac:dyDescent="0.25">
      <c r="A112" t="str">
        <f t="shared" ref="A112:A122" si="11">A111</f>
        <v>null</v>
      </c>
      <c r="B112" t="s">
        <v>37</v>
      </c>
      <c r="C112" t="s">
        <v>40</v>
      </c>
      <c r="D112" s="206">
        <f t="shared" si="10"/>
        <v>7</v>
      </c>
      <c r="E112" t="s">
        <v>54</v>
      </c>
      <c r="F112" s="14"/>
      <c r="G112" s="72" t="str">
        <f t="shared" si="9"/>
        <v/>
      </c>
      <c r="L112" s="209"/>
      <c r="N112" s="209"/>
    </row>
    <row r="113" spans="1:14" x14ac:dyDescent="0.25">
      <c r="A113" t="str">
        <f t="shared" si="11"/>
        <v>null</v>
      </c>
      <c r="B113" t="s">
        <v>37</v>
      </c>
      <c r="C113" t="s">
        <v>41</v>
      </c>
      <c r="D113" s="206">
        <f t="shared" si="10"/>
        <v>7</v>
      </c>
      <c r="E113" s="65">
        <f>MACRO!$C$21</f>
        <v>0</v>
      </c>
      <c r="G113" s="72" t="str">
        <f t="shared" si="9"/>
        <v/>
      </c>
      <c r="L113" s="209"/>
      <c r="N113" s="209"/>
    </row>
    <row r="114" spans="1:14" x14ac:dyDescent="0.25">
      <c r="A114" t="str">
        <f t="shared" si="11"/>
        <v>null</v>
      </c>
      <c r="B114" t="s">
        <v>37</v>
      </c>
      <c r="C114" t="s">
        <v>42</v>
      </c>
      <c r="D114" s="206">
        <f t="shared" si="10"/>
        <v>7</v>
      </c>
      <c r="E114" s="71">
        <f>MACRO!$D$21</f>
        <v>0</v>
      </c>
      <c r="F114" s="14"/>
      <c r="G114" s="72" t="str">
        <f t="shared" si="9"/>
        <v/>
      </c>
      <c r="L114" s="209"/>
      <c r="N114" s="209"/>
    </row>
    <row r="115" spans="1:14" x14ac:dyDescent="0.25">
      <c r="A115" t="str">
        <f t="shared" si="11"/>
        <v>null</v>
      </c>
      <c r="B115" t="s">
        <v>37</v>
      </c>
      <c r="C115" t="s">
        <v>43</v>
      </c>
      <c r="D115" s="206">
        <f t="shared" si="10"/>
        <v>7</v>
      </c>
      <c r="E115" s="211">
        <f>MACRO!$F$21</f>
        <v>0</v>
      </c>
      <c r="G115" s="72" t="str">
        <f t="shared" si="9"/>
        <v/>
      </c>
      <c r="L115" s="209"/>
      <c r="N115" s="209"/>
    </row>
    <row r="116" spans="1:14" x14ac:dyDescent="0.25">
      <c r="A116" t="str">
        <f t="shared" si="11"/>
        <v>null</v>
      </c>
      <c r="B116" t="s">
        <v>37</v>
      </c>
      <c r="C116" t="s">
        <v>44</v>
      </c>
      <c r="D116" s="206">
        <f t="shared" si="10"/>
        <v>7</v>
      </c>
      <c r="E116" s="212">
        <f>MACRO!$G$21</f>
        <v>0</v>
      </c>
      <c r="G116" s="72" t="str">
        <f t="shared" si="9"/>
        <v/>
      </c>
      <c r="L116" s="209"/>
      <c r="N116" s="209"/>
    </row>
    <row r="117" spans="1:14" x14ac:dyDescent="0.25">
      <c r="A117" t="str">
        <f t="shared" si="11"/>
        <v>null</v>
      </c>
      <c r="B117" t="s">
        <v>37</v>
      </c>
      <c r="C117" s="16" t="s">
        <v>45</v>
      </c>
      <c r="D117" s="206">
        <f t="shared" si="10"/>
        <v>7</v>
      </c>
      <c r="E117" s="71">
        <f>ROUND(MACRO!$J$21,2)</f>
        <v>0</v>
      </c>
      <c r="G117" s="72" t="str">
        <f t="shared" si="9"/>
        <v/>
      </c>
      <c r="L117" s="209"/>
      <c r="N117" s="209"/>
    </row>
    <row r="118" spans="1:14" x14ac:dyDescent="0.25">
      <c r="A118" t="str">
        <f t="shared" si="11"/>
        <v>null</v>
      </c>
      <c r="B118" t="s">
        <v>37</v>
      </c>
      <c r="C118" t="s">
        <v>46</v>
      </c>
      <c r="D118" s="206">
        <f t="shared" si="10"/>
        <v>7</v>
      </c>
      <c r="E118" s="1">
        <f>IF($E$41=10,1000,9996)</f>
        <v>1000</v>
      </c>
      <c r="F118" s="14"/>
      <c r="G118" s="72" t="str">
        <f t="shared" si="9"/>
        <v/>
      </c>
      <c r="L118" s="209"/>
      <c r="N118" s="209"/>
    </row>
    <row r="119" spans="1:14" x14ac:dyDescent="0.25">
      <c r="A119" t="str">
        <f t="shared" si="11"/>
        <v>null</v>
      </c>
      <c r="B119" t="s">
        <v>37</v>
      </c>
      <c r="C119" t="s">
        <v>47</v>
      </c>
      <c r="D119" s="206">
        <f t="shared" si="10"/>
        <v>7</v>
      </c>
      <c r="E119" s="70">
        <f>MACRO!$H$21</f>
        <v>0</v>
      </c>
      <c r="F119" s="14"/>
      <c r="G119" s="72" t="str">
        <f t="shared" si="9"/>
        <v/>
      </c>
      <c r="L119" s="209"/>
      <c r="N119" s="209"/>
    </row>
    <row r="120" spans="1:14" x14ac:dyDescent="0.25">
      <c r="A120" t="str">
        <f t="shared" si="11"/>
        <v>null</v>
      </c>
      <c r="B120" t="s">
        <v>37</v>
      </c>
      <c r="C120" t="s">
        <v>48</v>
      </c>
      <c r="D120" s="206">
        <f t="shared" si="10"/>
        <v>7</v>
      </c>
      <c r="E120" s="210">
        <f>MACRO!I21</f>
        <v>0</v>
      </c>
      <c r="F120" s="14"/>
      <c r="G120" s="72" t="str">
        <f t="shared" si="9"/>
        <v/>
      </c>
      <c r="L120" s="209"/>
      <c r="N120" s="209"/>
    </row>
    <row r="121" spans="1:14" x14ac:dyDescent="0.25">
      <c r="A121" t="str">
        <f t="shared" si="11"/>
        <v>null</v>
      </c>
      <c r="B121" t="s">
        <v>37</v>
      </c>
      <c r="C121" s="16" t="s">
        <v>49</v>
      </c>
      <c r="D121" s="206">
        <f t="shared" si="10"/>
        <v>7</v>
      </c>
      <c r="E121" s="71">
        <f>ROUND(MACRO!$I$21,2)</f>
        <v>0</v>
      </c>
      <c r="G121" s="72" t="str">
        <f t="shared" si="9"/>
        <v/>
      </c>
      <c r="L121" s="209"/>
      <c r="N121" s="209"/>
    </row>
    <row r="122" spans="1:14" x14ac:dyDescent="0.25">
      <c r="A122" t="str">
        <f t="shared" si="11"/>
        <v>null</v>
      </c>
      <c r="B122" t="s">
        <v>37</v>
      </c>
      <c r="C122" t="s">
        <v>110</v>
      </c>
      <c r="D122" s="206">
        <f t="shared" si="10"/>
        <v>7</v>
      </c>
      <c r="E122" s="11">
        <f>MACRO!E21</f>
        <v>0</v>
      </c>
      <c r="G122" s="72" t="str">
        <f t="shared" si="9"/>
        <v/>
      </c>
      <c r="L122" s="209"/>
      <c r="N122" s="209"/>
    </row>
    <row r="123" spans="1:14" x14ac:dyDescent="0.25">
      <c r="A123" t="str">
        <f>A124</f>
        <v>null</v>
      </c>
      <c r="B123" t="s">
        <v>37</v>
      </c>
      <c r="C123" t="s">
        <v>38</v>
      </c>
      <c r="D123" s="206">
        <f t="shared" si="10"/>
        <v>8</v>
      </c>
      <c r="E123" s="215">
        <f>MACRO!A22</f>
        <v>8</v>
      </c>
      <c r="G123" s="72" t="str">
        <f t="shared" si="9"/>
        <v/>
      </c>
      <c r="L123" s="209"/>
      <c r="N123" s="209"/>
    </row>
    <row r="124" spans="1:14" x14ac:dyDescent="0.25">
      <c r="A124" t="str">
        <f>IF(E124&gt;0,"go","null")</f>
        <v>null</v>
      </c>
      <c r="B124" t="s">
        <v>37</v>
      </c>
      <c r="C124" t="s">
        <v>39</v>
      </c>
      <c r="D124" s="206">
        <f t="shared" si="10"/>
        <v>8</v>
      </c>
      <c r="E124" s="37">
        <f>MACRO!$B$22</f>
        <v>0</v>
      </c>
      <c r="G124" s="72" t="str">
        <f t="shared" si="9"/>
        <v/>
      </c>
      <c r="L124" s="209"/>
      <c r="N124" s="209"/>
    </row>
    <row r="125" spans="1:14" x14ac:dyDescent="0.25">
      <c r="A125" t="str">
        <f t="shared" ref="A125:A135" si="12">A124</f>
        <v>null</v>
      </c>
      <c r="B125" t="s">
        <v>37</v>
      </c>
      <c r="C125" t="s">
        <v>40</v>
      </c>
      <c r="D125" s="206">
        <f t="shared" si="10"/>
        <v>8</v>
      </c>
      <c r="E125" t="s">
        <v>54</v>
      </c>
      <c r="F125" s="14"/>
      <c r="G125" s="72" t="str">
        <f t="shared" si="9"/>
        <v/>
      </c>
      <c r="L125" s="209"/>
      <c r="N125" s="209"/>
    </row>
    <row r="126" spans="1:14" x14ac:dyDescent="0.25">
      <c r="A126" t="str">
        <f t="shared" si="12"/>
        <v>null</v>
      </c>
      <c r="B126" t="s">
        <v>37</v>
      </c>
      <c r="C126" t="s">
        <v>41</v>
      </c>
      <c r="D126" s="206">
        <f t="shared" si="10"/>
        <v>8</v>
      </c>
      <c r="E126" s="65">
        <f>MACRO!$C$22</f>
        <v>0</v>
      </c>
      <c r="G126" s="72" t="str">
        <f t="shared" si="9"/>
        <v/>
      </c>
      <c r="L126" s="209"/>
      <c r="N126" s="209"/>
    </row>
    <row r="127" spans="1:14" x14ac:dyDescent="0.25">
      <c r="A127" t="str">
        <f t="shared" si="12"/>
        <v>null</v>
      </c>
      <c r="B127" t="s">
        <v>37</v>
      </c>
      <c r="C127" t="s">
        <v>42</v>
      </c>
      <c r="D127" s="206">
        <f t="shared" si="10"/>
        <v>8</v>
      </c>
      <c r="E127" s="71">
        <f>MACRO!$D$22</f>
        <v>0</v>
      </c>
      <c r="F127" s="14"/>
      <c r="G127" s="72" t="str">
        <f t="shared" si="9"/>
        <v/>
      </c>
      <c r="L127" s="209"/>
      <c r="N127" s="209"/>
    </row>
    <row r="128" spans="1:14" x14ac:dyDescent="0.25">
      <c r="A128" t="str">
        <f t="shared" si="12"/>
        <v>null</v>
      </c>
      <c r="B128" t="s">
        <v>37</v>
      </c>
      <c r="C128" t="s">
        <v>43</v>
      </c>
      <c r="D128" s="206">
        <f t="shared" si="10"/>
        <v>8</v>
      </c>
      <c r="E128" s="211">
        <f>MACRO!$F$22</f>
        <v>0</v>
      </c>
      <c r="G128" s="72" t="str">
        <f t="shared" si="9"/>
        <v/>
      </c>
      <c r="L128" s="209"/>
      <c r="N128" s="209"/>
    </row>
    <row r="129" spans="1:14" x14ac:dyDescent="0.25">
      <c r="A129" t="str">
        <f t="shared" si="12"/>
        <v>null</v>
      </c>
      <c r="B129" t="s">
        <v>37</v>
      </c>
      <c r="C129" t="s">
        <v>44</v>
      </c>
      <c r="D129" s="206">
        <f t="shared" si="10"/>
        <v>8</v>
      </c>
      <c r="E129" s="212">
        <f>MACRO!$G$22</f>
        <v>0</v>
      </c>
      <c r="G129" s="72" t="str">
        <f t="shared" si="9"/>
        <v/>
      </c>
      <c r="L129" s="209"/>
      <c r="N129" s="209"/>
    </row>
    <row r="130" spans="1:14" x14ac:dyDescent="0.25">
      <c r="A130" t="str">
        <f t="shared" si="12"/>
        <v>null</v>
      </c>
      <c r="B130" t="s">
        <v>37</v>
      </c>
      <c r="C130" s="16" t="s">
        <v>45</v>
      </c>
      <c r="D130" s="206">
        <f t="shared" si="10"/>
        <v>8</v>
      </c>
      <c r="E130" s="71">
        <f>ROUND(MACRO!$J$22,2)</f>
        <v>0</v>
      </c>
      <c r="G130" s="72" t="str">
        <f t="shared" si="9"/>
        <v/>
      </c>
      <c r="L130" s="209"/>
      <c r="N130" s="209"/>
    </row>
    <row r="131" spans="1:14" x14ac:dyDescent="0.25">
      <c r="A131" t="str">
        <f t="shared" si="12"/>
        <v>null</v>
      </c>
      <c r="B131" t="s">
        <v>37</v>
      </c>
      <c r="C131" t="s">
        <v>46</v>
      </c>
      <c r="D131" s="206">
        <f t="shared" si="10"/>
        <v>8</v>
      </c>
      <c r="E131" s="1">
        <f>IF($E$41=10,1000,9996)</f>
        <v>1000</v>
      </c>
      <c r="F131" s="14"/>
      <c r="G131" s="72" t="str">
        <f t="shared" si="9"/>
        <v/>
      </c>
      <c r="L131" s="209"/>
      <c r="N131" s="209"/>
    </row>
    <row r="132" spans="1:14" x14ac:dyDescent="0.25">
      <c r="A132" t="str">
        <f t="shared" si="12"/>
        <v>null</v>
      </c>
      <c r="B132" t="s">
        <v>37</v>
      </c>
      <c r="C132" t="s">
        <v>47</v>
      </c>
      <c r="D132" s="206">
        <f t="shared" si="10"/>
        <v>8</v>
      </c>
      <c r="E132" s="70">
        <f>MACRO!$H$22</f>
        <v>0</v>
      </c>
      <c r="F132" s="14"/>
      <c r="G132" s="72" t="str">
        <f t="shared" si="9"/>
        <v/>
      </c>
      <c r="L132" s="209"/>
      <c r="N132" s="209"/>
    </row>
    <row r="133" spans="1:14" x14ac:dyDescent="0.25">
      <c r="A133" t="str">
        <f t="shared" si="12"/>
        <v>null</v>
      </c>
      <c r="B133" t="s">
        <v>37</v>
      </c>
      <c r="C133" t="s">
        <v>48</v>
      </c>
      <c r="D133" s="206">
        <f t="shared" si="10"/>
        <v>8</v>
      </c>
      <c r="E133" s="210">
        <f>MACRO!I22</f>
        <v>0</v>
      </c>
      <c r="F133" s="14"/>
      <c r="G133" s="72" t="str">
        <f t="shared" si="9"/>
        <v/>
      </c>
      <c r="L133" s="209"/>
      <c r="N133" s="209"/>
    </row>
    <row r="134" spans="1:14" x14ac:dyDescent="0.25">
      <c r="A134" t="str">
        <f t="shared" si="12"/>
        <v>null</v>
      </c>
      <c r="B134" t="s">
        <v>37</v>
      </c>
      <c r="C134" s="16" t="s">
        <v>49</v>
      </c>
      <c r="D134" s="206">
        <f t="shared" si="10"/>
        <v>8</v>
      </c>
      <c r="E134" s="71">
        <f>ROUND(MACRO!$I$22,2)</f>
        <v>0</v>
      </c>
      <c r="G134" s="72" t="str">
        <f t="shared" si="9"/>
        <v/>
      </c>
      <c r="L134" s="209"/>
      <c r="N134" s="209"/>
    </row>
    <row r="135" spans="1:14" x14ac:dyDescent="0.25">
      <c r="A135" t="str">
        <f t="shared" si="12"/>
        <v>null</v>
      </c>
      <c r="B135" t="s">
        <v>37</v>
      </c>
      <c r="C135" t="s">
        <v>110</v>
      </c>
      <c r="D135" s="206">
        <f t="shared" si="10"/>
        <v>8</v>
      </c>
      <c r="E135" s="11">
        <f>MACRO!E22</f>
        <v>0</v>
      </c>
      <c r="G135" s="72" t="str">
        <f t="shared" si="9"/>
        <v/>
      </c>
      <c r="L135" s="209"/>
      <c r="N135" s="209"/>
    </row>
    <row r="136" spans="1:14" x14ac:dyDescent="0.25">
      <c r="A136" t="str">
        <f>A137</f>
        <v>null</v>
      </c>
      <c r="B136" t="s">
        <v>37</v>
      </c>
      <c r="C136" t="s">
        <v>38</v>
      </c>
      <c r="D136" s="206">
        <f t="shared" si="10"/>
        <v>9</v>
      </c>
      <c r="E136" s="215">
        <f>MACRO!A23</f>
        <v>9</v>
      </c>
      <c r="G136" s="72" t="str">
        <f t="shared" si="9"/>
        <v/>
      </c>
      <c r="L136" s="209"/>
      <c r="N136" s="209"/>
    </row>
    <row r="137" spans="1:14" x14ac:dyDescent="0.25">
      <c r="A137" t="str">
        <f>IF(E137&gt;0,"go","null")</f>
        <v>null</v>
      </c>
      <c r="B137" t="s">
        <v>37</v>
      </c>
      <c r="C137" t="s">
        <v>39</v>
      </c>
      <c r="D137" s="206">
        <f t="shared" si="10"/>
        <v>9</v>
      </c>
      <c r="E137" s="37">
        <f>MACRO!$B$23</f>
        <v>0</v>
      </c>
      <c r="G137" s="72" t="str">
        <f t="shared" si="9"/>
        <v/>
      </c>
      <c r="L137" s="209"/>
      <c r="N137" s="209"/>
    </row>
    <row r="138" spans="1:14" x14ac:dyDescent="0.25">
      <c r="A138" t="str">
        <f t="shared" ref="A138:A148" si="13">A137</f>
        <v>null</v>
      </c>
      <c r="B138" t="s">
        <v>37</v>
      </c>
      <c r="C138" t="s">
        <v>40</v>
      </c>
      <c r="D138" s="206">
        <f t="shared" si="10"/>
        <v>9</v>
      </c>
      <c r="E138" t="s">
        <v>54</v>
      </c>
      <c r="F138" s="14"/>
      <c r="G138" s="72" t="str">
        <f t="shared" si="9"/>
        <v/>
      </c>
      <c r="L138" s="209"/>
      <c r="N138" s="209"/>
    </row>
    <row r="139" spans="1:14" x14ac:dyDescent="0.25">
      <c r="A139" t="str">
        <f t="shared" si="13"/>
        <v>null</v>
      </c>
      <c r="B139" t="s">
        <v>37</v>
      </c>
      <c r="C139" t="s">
        <v>41</v>
      </c>
      <c r="D139" s="206">
        <f t="shared" si="10"/>
        <v>9</v>
      </c>
      <c r="E139" s="65">
        <f>MACRO!$C$23</f>
        <v>0</v>
      </c>
      <c r="G139" s="72" t="str">
        <f t="shared" si="9"/>
        <v/>
      </c>
      <c r="L139" s="209"/>
      <c r="N139" s="209"/>
    </row>
    <row r="140" spans="1:14" x14ac:dyDescent="0.25">
      <c r="A140" t="str">
        <f t="shared" si="13"/>
        <v>null</v>
      </c>
      <c r="B140" t="s">
        <v>37</v>
      </c>
      <c r="C140" t="s">
        <v>42</v>
      </c>
      <c r="D140" s="206">
        <f t="shared" si="10"/>
        <v>9</v>
      </c>
      <c r="E140" s="71">
        <f>MACRO!$D$23</f>
        <v>0</v>
      </c>
      <c r="F140" s="14"/>
      <c r="G140" s="72" t="str">
        <f t="shared" si="9"/>
        <v/>
      </c>
      <c r="L140" s="209"/>
      <c r="N140" s="209"/>
    </row>
    <row r="141" spans="1:14" x14ac:dyDescent="0.25">
      <c r="A141" t="str">
        <f t="shared" si="13"/>
        <v>null</v>
      </c>
      <c r="B141" t="s">
        <v>37</v>
      </c>
      <c r="C141" t="s">
        <v>43</v>
      </c>
      <c r="D141" s="206">
        <f t="shared" si="10"/>
        <v>9</v>
      </c>
      <c r="E141" s="211">
        <f>MACRO!$F$23</f>
        <v>0</v>
      </c>
      <c r="G141" s="72" t="str">
        <f t="shared" si="9"/>
        <v/>
      </c>
      <c r="L141" s="209"/>
      <c r="N141" s="209"/>
    </row>
    <row r="142" spans="1:14" x14ac:dyDescent="0.25">
      <c r="A142" t="str">
        <f t="shared" si="13"/>
        <v>null</v>
      </c>
      <c r="B142" t="s">
        <v>37</v>
      </c>
      <c r="C142" t="s">
        <v>44</v>
      </c>
      <c r="D142" s="206">
        <f t="shared" si="10"/>
        <v>9</v>
      </c>
      <c r="E142" s="212">
        <f>MACRO!$G$23</f>
        <v>0</v>
      </c>
      <c r="G142" s="72" t="str">
        <f t="shared" si="9"/>
        <v/>
      </c>
      <c r="L142" s="209"/>
      <c r="N142" s="209"/>
    </row>
    <row r="143" spans="1:14" x14ac:dyDescent="0.25">
      <c r="A143" t="str">
        <f t="shared" si="13"/>
        <v>null</v>
      </c>
      <c r="B143" t="s">
        <v>37</v>
      </c>
      <c r="C143" s="16" t="s">
        <v>45</v>
      </c>
      <c r="D143" s="206">
        <f t="shared" si="10"/>
        <v>9</v>
      </c>
      <c r="E143" s="71">
        <f>ROUND(MACRO!$J$23,2)</f>
        <v>0</v>
      </c>
      <c r="G143" s="72" t="str">
        <f t="shared" si="9"/>
        <v/>
      </c>
      <c r="L143" s="209"/>
      <c r="N143" s="209"/>
    </row>
    <row r="144" spans="1:14" x14ac:dyDescent="0.25">
      <c r="A144" t="str">
        <f t="shared" si="13"/>
        <v>null</v>
      </c>
      <c r="B144" t="s">
        <v>37</v>
      </c>
      <c r="C144" t="s">
        <v>46</v>
      </c>
      <c r="D144" s="206">
        <f t="shared" si="10"/>
        <v>9</v>
      </c>
      <c r="E144" s="1">
        <f>IF($E$41=10,1000,9996)</f>
        <v>1000</v>
      </c>
      <c r="F144" s="14"/>
      <c r="G144" s="72" t="str">
        <f t="shared" si="9"/>
        <v/>
      </c>
      <c r="L144" s="209"/>
      <c r="N144" s="209"/>
    </row>
    <row r="145" spans="1:14" x14ac:dyDescent="0.25">
      <c r="A145" t="str">
        <f t="shared" si="13"/>
        <v>null</v>
      </c>
      <c r="B145" t="s">
        <v>37</v>
      </c>
      <c r="C145" t="s">
        <v>47</v>
      </c>
      <c r="D145" s="206">
        <f t="shared" si="10"/>
        <v>9</v>
      </c>
      <c r="E145" s="70">
        <f>MACRO!$H$23</f>
        <v>0</v>
      </c>
      <c r="F145" s="14"/>
      <c r="G145" s="72" t="str">
        <f t="shared" si="9"/>
        <v/>
      </c>
      <c r="L145" s="209"/>
      <c r="N145" s="209"/>
    </row>
    <row r="146" spans="1:14" x14ac:dyDescent="0.25">
      <c r="A146" t="str">
        <f t="shared" si="13"/>
        <v>null</v>
      </c>
      <c r="B146" t="s">
        <v>37</v>
      </c>
      <c r="C146" t="s">
        <v>48</v>
      </c>
      <c r="D146" s="206">
        <f t="shared" si="10"/>
        <v>9</v>
      </c>
      <c r="E146" s="210">
        <f>MACRO!I23</f>
        <v>0</v>
      </c>
      <c r="F146" s="14"/>
      <c r="G146" s="72" t="str">
        <f t="shared" si="9"/>
        <v/>
      </c>
      <c r="L146" s="209"/>
      <c r="N146" s="209"/>
    </row>
    <row r="147" spans="1:14" x14ac:dyDescent="0.25">
      <c r="A147" t="str">
        <f t="shared" si="13"/>
        <v>null</v>
      </c>
      <c r="B147" t="s">
        <v>37</v>
      </c>
      <c r="C147" s="16" t="s">
        <v>49</v>
      </c>
      <c r="D147" s="206">
        <f t="shared" si="10"/>
        <v>9</v>
      </c>
      <c r="E147" s="71">
        <f>ROUND(MACRO!$I$23,2)</f>
        <v>0</v>
      </c>
      <c r="G147" s="72" t="str">
        <f t="shared" si="9"/>
        <v/>
      </c>
      <c r="L147" s="209"/>
      <c r="N147" s="209"/>
    </row>
    <row r="148" spans="1:14" x14ac:dyDescent="0.25">
      <c r="A148" t="str">
        <f t="shared" si="13"/>
        <v>null</v>
      </c>
      <c r="B148" t="s">
        <v>37</v>
      </c>
      <c r="C148" t="s">
        <v>110</v>
      </c>
      <c r="D148" s="206">
        <f t="shared" si="10"/>
        <v>9</v>
      </c>
      <c r="E148" s="11">
        <f>MACRO!E23</f>
        <v>0</v>
      </c>
      <c r="G148" s="72" t="str">
        <f t="shared" si="9"/>
        <v/>
      </c>
      <c r="L148" s="209"/>
      <c r="N148" s="209"/>
    </row>
    <row r="149" spans="1:14" x14ac:dyDescent="0.25">
      <c r="A149" t="str">
        <f>A150</f>
        <v>null</v>
      </c>
      <c r="B149" t="s">
        <v>37</v>
      </c>
      <c r="C149" t="s">
        <v>38</v>
      </c>
      <c r="D149" s="206">
        <f t="shared" si="10"/>
        <v>10</v>
      </c>
      <c r="E149" s="215">
        <f>MACRO!A24</f>
        <v>10</v>
      </c>
      <c r="G149" s="72" t="str">
        <f t="shared" si="9"/>
        <v/>
      </c>
      <c r="L149" s="209"/>
      <c r="N149" s="209"/>
    </row>
    <row r="150" spans="1:14" x14ac:dyDescent="0.25">
      <c r="A150" t="str">
        <f>IF(E150&gt;0,"go","null")</f>
        <v>null</v>
      </c>
      <c r="B150" t="s">
        <v>37</v>
      </c>
      <c r="C150" t="s">
        <v>39</v>
      </c>
      <c r="D150" s="206">
        <f t="shared" si="10"/>
        <v>10</v>
      </c>
      <c r="E150" s="37">
        <f>MACRO!$B$24</f>
        <v>0</v>
      </c>
      <c r="G150" s="72" t="str">
        <f t="shared" si="9"/>
        <v/>
      </c>
      <c r="L150" s="209"/>
      <c r="N150" s="209"/>
    </row>
    <row r="151" spans="1:14" x14ac:dyDescent="0.25">
      <c r="A151" t="str">
        <f t="shared" ref="A151:A161" si="14">A150</f>
        <v>null</v>
      </c>
      <c r="B151" t="s">
        <v>37</v>
      </c>
      <c r="C151" t="s">
        <v>40</v>
      </c>
      <c r="D151" s="206">
        <f t="shared" si="10"/>
        <v>10</v>
      </c>
      <c r="E151" t="s">
        <v>54</v>
      </c>
      <c r="F151" s="14"/>
      <c r="G151" s="72" t="str">
        <f t="shared" si="9"/>
        <v/>
      </c>
      <c r="L151" s="209"/>
      <c r="N151" s="209"/>
    </row>
    <row r="152" spans="1:14" x14ac:dyDescent="0.25">
      <c r="A152" t="str">
        <f t="shared" si="14"/>
        <v>null</v>
      </c>
      <c r="B152" t="s">
        <v>37</v>
      </c>
      <c r="C152" t="s">
        <v>41</v>
      </c>
      <c r="D152" s="206">
        <f t="shared" si="10"/>
        <v>10</v>
      </c>
      <c r="E152" s="65">
        <f>MACRO!$C$24</f>
        <v>0</v>
      </c>
      <c r="G152" s="72" t="str">
        <f t="shared" si="9"/>
        <v/>
      </c>
      <c r="L152" s="209"/>
      <c r="N152" s="209"/>
    </row>
    <row r="153" spans="1:14" x14ac:dyDescent="0.25">
      <c r="A153" t="str">
        <f t="shared" si="14"/>
        <v>null</v>
      </c>
      <c r="B153" t="s">
        <v>37</v>
      </c>
      <c r="C153" t="s">
        <v>42</v>
      </c>
      <c r="D153" s="206">
        <f t="shared" si="10"/>
        <v>10</v>
      </c>
      <c r="E153" s="71">
        <f>MACRO!$D$24</f>
        <v>0</v>
      </c>
      <c r="F153" s="14"/>
      <c r="G153" s="72" t="str">
        <f t="shared" si="9"/>
        <v/>
      </c>
      <c r="L153" s="209"/>
      <c r="N153" s="209"/>
    </row>
    <row r="154" spans="1:14" x14ac:dyDescent="0.25">
      <c r="A154" t="str">
        <f t="shared" si="14"/>
        <v>null</v>
      </c>
      <c r="B154" t="s">
        <v>37</v>
      </c>
      <c r="C154" t="s">
        <v>43</v>
      </c>
      <c r="D154" s="206">
        <f t="shared" si="10"/>
        <v>10</v>
      </c>
      <c r="E154" s="211">
        <f>MACRO!$F$24</f>
        <v>0</v>
      </c>
      <c r="G154" s="72" t="str">
        <f t="shared" si="9"/>
        <v/>
      </c>
      <c r="L154" s="209"/>
      <c r="N154" s="209"/>
    </row>
    <row r="155" spans="1:14" x14ac:dyDescent="0.25">
      <c r="A155" t="str">
        <f t="shared" si="14"/>
        <v>null</v>
      </c>
      <c r="B155" t="s">
        <v>37</v>
      </c>
      <c r="C155" t="s">
        <v>44</v>
      </c>
      <c r="D155" s="206">
        <f t="shared" si="10"/>
        <v>10</v>
      </c>
      <c r="E155" s="212">
        <f>MACRO!$G$24</f>
        <v>0</v>
      </c>
      <c r="G155" s="72" t="str">
        <f t="shared" si="9"/>
        <v/>
      </c>
      <c r="L155" s="209"/>
      <c r="N155" s="209"/>
    </row>
    <row r="156" spans="1:14" x14ac:dyDescent="0.25">
      <c r="A156" t="str">
        <f t="shared" si="14"/>
        <v>null</v>
      </c>
      <c r="B156" t="s">
        <v>37</v>
      </c>
      <c r="C156" s="16" t="s">
        <v>45</v>
      </c>
      <c r="D156" s="206">
        <f t="shared" si="10"/>
        <v>10</v>
      </c>
      <c r="E156" s="71">
        <f>ROUND(MACRO!$J$24,2)</f>
        <v>0</v>
      </c>
      <c r="G156" s="72" t="str">
        <f t="shared" si="9"/>
        <v/>
      </c>
      <c r="L156" s="209"/>
      <c r="N156" s="209"/>
    </row>
    <row r="157" spans="1:14" x14ac:dyDescent="0.25">
      <c r="A157" t="str">
        <f t="shared" si="14"/>
        <v>null</v>
      </c>
      <c r="B157" t="s">
        <v>37</v>
      </c>
      <c r="C157" t="s">
        <v>46</v>
      </c>
      <c r="D157" s="206">
        <f t="shared" si="10"/>
        <v>10</v>
      </c>
      <c r="E157" s="1">
        <f>IF($E$41=10,1000,9996)</f>
        <v>1000</v>
      </c>
      <c r="F157" s="14"/>
      <c r="G157" s="72" t="str">
        <f t="shared" si="9"/>
        <v/>
      </c>
      <c r="L157" s="209"/>
      <c r="N157" s="209"/>
    </row>
    <row r="158" spans="1:14" x14ac:dyDescent="0.25">
      <c r="A158" t="str">
        <f t="shared" si="14"/>
        <v>null</v>
      </c>
      <c r="B158" t="s">
        <v>37</v>
      </c>
      <c r="C158" t="s">
        <v>47</v>
      </c>
      <c r="D158" s="206">
        <f t="shared" si="10"/>
        <v>10</v>
      </c>
      <c r="E158" s="70">
        <f>MACRO!$H$24</f>
        <v>0</v>
      </c>
      <c r="F158" s="14"/>
      <c r="G158" s="72" t="str">
        <f t="shared" si="9"/>
        <v/>
      </c>
      <c r="L158" s="209"/>
      <c r="N158" s="209"/>
    </row>
    <row r="159" spans="1:14" x14ac:dyDescent="0.25">
      <c r="A159" t="str">
        <f t="shared" si="14"/>
        <v>null</v>
      </c>
      <c r="B159" t="s">
        <v>37</v>
      </c>
      <c r="C159" t="s">
        <v>48</v>
      </c>
      <c r="D159" s="206">
        <f t="shared" si="10"/>
        <v>10</v>
      </c>
      <c r="E159" s="210">
        <f>MACRO!I24</f>
        <v>0</v>
      </c>
      <c r="F159" s="14"/>
      <c r="G159" s="72" t="str">
        <f t="shared" si="9"/>
        <v/>
      </c>
      <c r="L159" s="209"/>
      <c r="N159" s="209"/>
    </row>
    <row r="160" spans="1:14" x14ac:dyDescent="0.25">
      <c r="A160" t="str">
        <f t="shared" si="14"/>
        <v>null</v>
      </c>
      <c r="B160" t="s">
        <v>37</v>
      </c>
      <c r="C160" s="16" t="s">
        <v>49</v>
      </c>
      <c r="D160" s="206">
        <f t="shared" si="10"/>
        <v>10</v>
      </c>
      <c r="E160" s="71">
        <f>ROUND(MACRO!$I$24,2)</f>
        <v>0</v>
      </c>
      <c r="G160" s="72" t="str">
        <f t="shared" si="9"/>
        <v/>
      </c>
      <c r="L160" s="209"/>
      <c r="N160" s="209"/>
    </row>
    <row r="161" spans="1:14" x14ac:dyDescent="0.25">
      <c r="A161" t="str">
        <f t="shared" si="14"/>
        <v>null</v>
      </c>
      <c r="B161" t="s">
        <v>37</v>
      </c>
      <c r="C161" t="s">
        <v>110</v>
      </c>
      <c r="D161" s="206">
        <f t="shared" si="10"/>
        <v>10</v>
      </c>
      <c r="E161" s="11">
        <f>MACRO!E24</f>
        <v>0</v>
      </c>
      <c r="G161" s="72" t="str">
        <f t="shared" si="9"/>
        <v/>
      </c>
      <c r="L161" s="209"/>
      <c r="N161" s="209"/>
    </row>
    <row r="162" spans="1:14" x14ac:dyDescent="0.25">
      <c r="A162" t="str">
        <f>A163</f>
        <v>null</v>
      </c>
      <c r="B162" t="s">
        <v>37</v>
      </c>
      <c r="C162" t="s">
        <v>38</v>
      </c>
      <c r="D162" s="206">
        <f t="shared" si="10"/>
        <v>11</v>
      </c>
      <c r="E162" s="215">
        <f>MACRO!A25</f>
        <v>11</v>
      </c>
      <c r="G162" s="72" t="str">
        <f t="shared" si="9"/>
        <v/>
      </c>
      <c r="L162" s="209"/>
      <c r="N162" s="209"/>
    </row>
    <row r="163" spans="1:14" x14ac:dyDescent="0.25">
      <c r="A163" t="str">
        <f>IF(E163&gt;0,"go","null")</f>
        <v>null</v>
      </c>
      <c r="B163" t="s">
        <v>37</v>
      </c>
      <c r="C163" t="s">
        <v>39</v>
      </c>
      <c r="D163" s="206">
        <f t="shared" si="10"/>
        <v>11</v>
      </c>
      <c r="E163" s="37">
        <f>MACRO!$B$25</f>
        <v>0</v>
      </c>
      <c r="G163" s="72" t="str">
        <f t="shared" si="9"/>
        <v/>
      </c>
      <c r="L163" s="209"/>
      <c r="N163" s="209"/>
    </row>
    <row r="164" spans="1:14" x14ac:dyDescent="0.25">
      <c r="A164" t="str">
        <f t="shared" ref="A164:A174" si="15">A163</f>
        <v>null</v>
      </c>
      <c r="B164" t="s">
        <v>37</v>
      </c>
      <c r="C164" t="s">
        <v>40</v>
      </c>
      <c r="D164" s="206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/>
      </c>
      <c r="L164" s="209"/>
      <c r="N164" s="209"/>
    </row>
    <row r="165" spans="1:14" x14ac:dyDescent="0.25">
      <c r="A165" t="str">
        <f t="shared" si="15"/>
        <v>null</v>
      </c>
      <c r="B165" t="s">
        <v>37</v>
      </c>
      <c r="C165" t="s">
        <v>41</v>
      </c>
      <c r="D165" s="206">
        <f t="shared" si="10"/>
        <v>11</v>
      </c>
      <c r="E165" s="65">
        <f>MACRO!$C$25</f>
        <v>0</v>
      </c>
      <c r="G165" s="72" t="str">
        <f t="shared" si="16"/>
        <v/>
      </c>
      <c r="L165" s="209"/>
      <c r="N165" s="209"/>
    </row>
    <row r="166" spans="1:14" x14ac:dyDescent="0.25">
      <c r="A166" t="str">
        <f t="shared" si="15"/>
        <v>null</v>
      </c>
      <c r="B166" t="s">
        <v>37</v>
      </c>
      <c r="C166" t="s">
        <v>42</v>
      </c>
      <c r="D166" s="206">
        <f t="shared" si="10"/>
        <v>11</v>
      </c>
      <c r="E166" s="71">
        <f>MACRO!$D$25</f>
        <v>0</v>
      </c>
      <c r="F166" s="14"/>
      <c r="G166" s="72" t="str">
        <f t="shared" si="16"/>
        <v/>
      </c>
      <c r="L166" s="209"/>
      <c r="N166" s="209"/>
    </row>
    <row r="167" spans="1:14" x14ac:dyDescent="0.25">
      <c r="A167" t="str">
        <f t="shared" si="15"/>
        <v>null</v>
      </c>
      <c r="B167" t="s">
        <v>37</v>
      </c>
      <c r="C167" t="s">
        <v>43</v>
      </c>
      <c r="D167" s="206">
        <f t="shared" si="10"/>
        <v>11</v>
      </c>
      <c r="E167" s="211">
        <f>MACRO!$F$25</f>
        <v>0</v>
      </c>
      <c r="G167" s="72" t="str">
        <f t="shared" si="16"/>
        <v/>
      </c>
      <c r="L167" s="209"/>
      <c r="N167" s="209"/>
    </row>
    <row r="168" spans="1:14" x14ac:dyDescent="0.25">
      <c r="A168" t="str">
        <f t="shared" si="15"/>
        <v>null</v>
      </c>
      <c r="B168" t="s">
        <v>37</v>
      </c>
      <c r="C168" t="s">
        <v>44</v>
      </c>
      <c r="D168" s="206">
        <f t="shared" si="10"/>
        <v>11</v>
      </c>
      <c r="E168" s="212">
        <f>MACRO!$G$25</f>
        <v>0</v>
      </c>
      <c r="G168" s="72" t="str">
        <f t="shared" si="16"/>
        <v/>
      </c>
      <c r="L168" s="209"/>
      <c r="N168" s="209"/>
    </row>
    <row r="169" spans="1:14" x14ac:dyDescent="0.25">
      <c r="A169" t="str">
        <f t="shared" si="15"/>
        <v>null</v>
      </c>
      <c r="B169" t="s">
        <v>37</v>
      </c>
      <c r="C169" s="16" t="s">
        <v>45</v>
      </c>
      <c r="D169" s="206">
        <f t="shared" si="10"/>
        <v>11</v>
      </c>
      <c r="E169" s="71">
        <f>ROUND(MACRO!$J$25,2)</f>
        <v>0</v>
      </c>
      <c r="G169" s="72" t="str">
        <f t="shared" si="16"/>
        <v/>
      </c>
      <c r="L169" s="209"/>
      <c r="N169" s="209"/>
    </row>
    <row r="170" spans="1:14" x14ac:dyDescent="0.25">
      <c r="A170" t="str">
        <f t="shared" si="15"/>
        <v>null</v>
      </c>
      <c r="B170" t="s">
        <v>37</v>
      </c>
      <c r="C170" t="s">
        <v>46</v>
      </c>
      <c r="D170" s="206">
        <f t="shared" si="10"/>
        <v>11</v>
      </c>
      <c r="E170" s="1">
        <f>IF($E$41=10,1000,9996)</f>
        <v>1000</v>
      </c>
      <c r="F170" s="14"/>
      <c r="G170" s="72" t="str">
        <f t="shared" si="16"/>
        <v/>
      </c>
      <c r="L170" s="209"/>
      <c r="N170" s="209"/>
    </row>
    <row r="171" spans="1:14" x14ac:dyDescent="0.25">
      <c r="A171" t="str">
        <f t="shared" si="15"/>
        <v>null</v>
      </c>
      <c r="B171" t="s">
        <v>37</v>
      </c>
      <c r="C171" t="s">
        <v>47</v>
      </c>
      <c r="D171" s="206">
        <f t="shared" si="10"/>
        <v>11</v>
      </c>
      <c r="E171" s="70">
        <f>MACRO!$H$25</f>
        <v>0</v>
      </c>
      <c r="F171" s="14"/>
      <c r="G171" s="72" t="str">
        <f t="shared" si="16"/>
        <v/>
      </c>
      <c r="L171" s="209"/>
      <c r="N171" s="209"/>
    </row>
    <row r="172" spans="1:14" x14ac:dyDescent="0.25">
      <c r="A172" t="str">
        <f t="shared" si="15"/>
        <v>null</v>
      </c>
      <c r="B172" t="s">
        <v>37</v>
      </c>
      <c r="C172" t="s">
        <v>48</v>
      </c>
      <c r="D172" s="206">
        <f t="shared" si="10"/>
        <v>11</v>
      </c>
      <c r="E172" s="210">
        <f>MACRO!I25</f>
        <v>0</v>
      </c>
      <c r="F172" s="14"/>
      <c r="G172" s="72" t="str">
        <f t="shared" si="16"/>
        <v/>
      </c>
      <c r="L172" s="209"/>
      <c r="N172" s="209"/>
    </row>
    <row r="173" spans="1:14" x14ac:dyDescent="0.25">
      <c r="A173" t="str">
        <f t="shared" si="15"/>
        <v>null</v>
      </c>
      <c r="B173" t="s">
        <v>37</v>
      </c>
      <c r="C173" s="16" t="s">
        <v>49</v>
      </c>
      <c r="D173" s="206">
        <f t="shared" si="10"/>
        <v>11</v>
      </c>
      <c r="E173" s="71">
        <f>ROUND(MACRO!$I$25,2)</f>
        <v>0</v>
      </c>
      <c r="G173" s="72" t="str">
        <f t="shared" si="16"/>
        <v/>
      </c>
      <c r="L173" s="209"/>
      <c r="N173" s="209"/>
    </row>
    <row r="174" spans="1:14" x14ac:dyDescent="0.25">
      <c r="A174" t="str">
        <f t="shared" si="15"/>
        <v>null</v>
      </c>
      <c r="B174" t="s">
        <v>37</v>
      </c>
      <c r="C174" t="s">
        <v>110</v>
      </c>
      <c r="D174" s="206">
        <f t="shared" ref="D174:D237" si="17">IF(C174="NroLinDet",D173+1,D173)</f>
        <v>11</v>
      </c>
      <c r="E174" s="11">
        <f>MACRO!E25</f>
        <v>0</v>
      </c>
      <c r="G174" s="72" t="str">
        <f t="shared" si="16"/>
        <v/>
      </c>
      <c r="L174" s="209"/>
      <c r="N174" s="209"/>
    </row>
    <row r="175" spans="1:14" x14ac:dyDescent="0.25">
      <c r="A175" t="str">
        <f>A176</f>
        <v>null</v>
      </c>
      <c r="B175" t="s">
        <v>37</v>
      </c>
      <c r="C175" t="s">
        <v>38</v>
      </c>
      <c r="D175" s="206">
        <f t="shared" si="17"/>
        <v>12</v>
      </c>
      <c r="E175" s="215">
        <f>MACRO!A26</f>
        <v>12</v>
      </c>
      <c r="G175" s="72" t="str">
        <f t="shared" si="16"/>
        <v/>
      </c>
      <c r="L175" s="209"/>
      <c r="N175" s="209"/>
    </row>
    <row r="176" spans="1:14" x14ac:dyDescent="0.25">
      <c r="A176" t="str">
        <f>IF(E176&gt;0,"go","null")</f>
        <v>null</v>
      </c>
      <c r="B176" t="s">
        <v>37</v>
      </c>
      <c r="C176" t="s">
        <v>39</v>
      </c>
      <c r="D176" s="206">
        <f t="shared" si="17"/>
        <v>12</v>
      </c>
      <c r="E176" s="37">
        <f>MACRO!$B$26</f>
        <v>0</v>
      </c>
      <c r="G176" s="72" t="str">
        <f t="shared" si="16"/>
        <v/>
      </c>
      <c r="L176" s="209"/>
      <c r="N176" s="209"/>
    </row>
    <row r="177" spans="1:14" x14ac:dyDescent="0.25">
      <c r="A177" t="str">
        <f t="shared" ref="A177:A187" si="18">A176</f>
        <v>null</v>
      </c>
      <c r="B177" t="s">
        <v>37</v>
      </c>
      <c r="C177" t="s">
        <v>40</v>
      </c>
      <c r="D177" s="206">
        <f t="shared" si="17"/>
        <v>12</v>
      </c>
      <c r="E177" t="s">
        <v>54</v>
      </c>
      <c r="F177" s="14"/>
      <c r="G177" s="72" t="str">
        <f t="shared" si="16"/>
        <v/>
      </c>
      <c r="L177" s="209"/>
      <c r="N177" s="209"/>
    </row>
    <row r="178" spans="1:14" x14ac:dyDescent="0.25">
      <c r="A178" t="str">
        <f t="shared" si="18"/>
        <v>null</v>
      </c>
      <c r="B178" t="s">
        <v>37</v>
      </c>
      <c r="C178" t="s">
        <v>41</v>
      </c>
      <c r="D178" s="206">
        <f t="shared" si="17"/>
        <v>12</v>
      </c>
      <c r="E178" s="65">
        <f>MACRO!$C$26</f>
        <v>0</v>
      </c>
      <c r="G178" s="72" t="str">
        <f t="shared" si="16"/>
        <v/>
      </c>
      <c r="L178" s="209"/>
      <c r="N178" s="209"/>
    </row>
    <row r="179" spans="1:14" x14ac:dyDescent="0.25">
      <c r="A179" t="str">
        <f t="shared" si="18"/>
        <v>null</v>
      </c>
      <c r="B179" t="s">
        <v>37</v>
      </c>
      <c r="C179" t="s">
        <v>42</v>
      </c>
      <c r="D179" s="206">
        <f t="shared" si="17"/>
        <v>12</v>
      </c>
      <c r="E179" s="71">
        <f>MACRO!$D$26</f>
        <v>0</v>
      </c>
      <c r="F179" s="14"/>
      <c r="G179" s="72" t="str">
        <f t="shared" si="16"/>
        <v/>
      </c>
      <c r="L179" s="209"/>
      <c r="N179" s="209"/>
    </row>
    <row r="180" spans="1:14" x14ac:dyDescent="0.25">
      <c r="A180" t="str">
        <f t="shared" si="18"/>
        <v>null</v>
      </c>
      <c r="B180" t="s">
        <v>37</v>
      </c>
      <c r="C180" t="s">
        <v>43</v>
      </c>
      <c r="D180" s="206">
        <f t="shared" si="17"/>
        <v>12</v>
      </c>
      <c r="E180" s="211">
        <f>MACRO!$F$26</f>
        <v>0</v>
      </c>
      <c r="G180" s="72" t="str">
        <f t="shared" si="16"/>
        <v/>
      </c>
      <c r="L180" s="209"/>
      <c r="N180" s="209"/>
    </row>
    <row r="181" spans="1:14" x14ac:dyDescent="0.25">
      <c r="A181" t="str">
        <f t="shared" si="18"/>
        <v>null</v>
      </c>
      <c r="B181" t="s">
        <v>37</v>
      </c>
      <c r="C181" t="s">
        <v>44</v>
      </c>
      <c r="D181" s="206">
        <f t="shared" si="17"/>
        <v>12</v>
      </c>
      <c r="E181" s="212">
        <f>MACRO!$G$26</f>
        <v>0</v>
      </c>
      <c r="G181" s="72" t="str">
        <f t="shared" si="16"/>
        <v/>
      </c>
      <c r="L181" s="209"/>
      <c r="N181" s="209"/>
    </row>
    <row r="182" spans="1:14" x14ac:dyDescent="0.25">
      <c r="A182" t="str">
        <f t="shared" si="18"/>
        <v>null</v>
      </c>
      <c r="B182" t="s">
        <v>37</v>
      </c>
      <c r="C182" s="16" t="s">
        <v>45</v>
      </c>
      <c r="D182" s="206">
        <f t="shared" si="17"/>
        <v>12</v>
      </c>
      <c r="E182" s="71">
        <f>ROUND(MACRO!$J$26,2)</f>
        <v>0</v>
      </c>
      <c r="G182" s="72" t="str">
        <f t="shared" si="16"/>
        <v/>
      </c>
      <c r="L182" s="209"/>
      <c r="N182" s="209"/>
    </row>
    <row r="183" spans="1:14" x14ac:dyDescent="0.25">
      <c r="A183" t="str">
        <f t="shared" si="18"/>
        <v>null</v>
      </c>
      <c r="B183" t="s">
        <v>37</v>
      </c>
      <c r="C183" t="s">
        <v>46</v>
      </c>
      <c r="D183" s="206">
        <f t="shared" si="17"/>
        <v>12</v>
      </c>
      <c r="E183" s="1">
        <f>IF($E$41=10,1000,9996)</f>
        <v>1000</v>
      </c>
      <c r="F183" s="14"/>
      <c r="G183" s="72" t="str">
        <f t="shared" si="16"/>
        <v/>
      </c>
      <c r="L183" s="209"/>
      <c r="N183" s="209"/>
    </row>
    <row r="184" spans="1:14" x14ac:dyDescent="0.25">
      <c r="A184" t="str">
        <f t="shared" si="18"/>
        <v>null</v>
      </c>
      <c r="B184" t="s">
        <v>37</v>
      </c>
      <c r="C184" t="s">
        <v>47</v>
      </c>
      <c r="D184" s="206">
        <f t="shared" si="17"/>
        <v>12</v>
      </c>
      <c r="E184" s="70">
        <f>MACRO!$H$26</f>
        <v>0</v>
      </c>
      <c r="F184" s="14"/>
      <c r="G184" s="72" t="str">
        <f t="shared" si="16"/>
        <v/>
      </c>
      <c r="L184" s="209"/>
      <c r="N184" s="209"/>
    </row>
    <row r="185" spans="1:14" x14ac:dyDescent="0.25">
      <c r="A185" t="str">
        <f t="shared" si="18"/>
        <v>null</v>
      </c>
      <c r="B185" t="s">
        <v>37</v>
      </c>
      <c r="C185" t="s">
        <v>48</v>
      </c>
      <c r="D185" s="206">
        <f t="shared" si="17"/>
        <v>12</v>
      </c>
      <c r="E185" s="210">
        <f>MACRO!I26</f>
        <v>0</v>
      </c>
      <c r="F185" s="14"/>
      <c r="G185" s="72" t="str">
        <f t="shared" si="16"/>
        <v/>
      </c>
      <c r="L185" s="209"/>
      <c r="N185" s="209"/>
    </row>
    <row r="186" spans="1:14" x14ac:dyDescent="0.25">
      <c r="A186" t="str">
        <f t="shared" si="18"/>
        <v>null</v>
      </c>
      <c r="B186" t="s">
        <v>37</v>
      </c>
      <c r="C186" s="16" t="s">
        <v>49</v>
      </c>
      <c r="D186" s="206">
        <f t="shared" si="17"/>
        <v>12</v>
      </c>
      <c r="E186" s="71">
        <f>ROUND(MACRO!$I$26,2)</f>
        <v>0</v>
      </c>
      <c r="G186" s="72" t="str">
        <f t="shared" si="16"/>
        <v/>
      </c>
      <c r="L186" s="209"/>
      <c r="N186" s="209"/>
    </row>
    <row r="187" spans="1:14" x14ac:dyDescent="0.25">
      <c r="A187" t="str">
        <f t="shared" si="18"/>
        <v>null</v>
      </c>
      <c r="B187" t="s">
        <v>37</v>
      </c>
      <c r="C187" t="s">
        <v>110</v>
      </c>
      <c r="D187" s="206">
        <f t="shared" si="17"/>
        <v>12</v>
      </c>
      <c r="E187" s="11">
        <f>MACRO!E26</f>
        <v>0</v>
      </c>
      <c r="G187" s="72" t="str">
        <f t="shared" si="16"/>
        <v/>
      </c>
      <c r="L187" s="209"/>
      <c r="N187" s="209"/>
    </row>
    <row r="188" spans="1:14" x14ac:dyDescent="0.25">
      <c r="A188" t="str">
        <f>A189</f>
        <v>null</v>
      </c>
      <c r="B188" t="s">
        <v>37</v>
      </c>
      <c r="C188" t="s">
        <v>38</v>
      </c>
      <c r="D188" s="206">
        <f t="shared" si="17"/>
        <v>13</v>
      </c>
      <c r="E188" s="215">
        <f>MACRO!A27</f>
        <v>13</v>
      </c>
      <c r="G188" s="72" t="str">
        <f t="shared" si="16"/>
        <v/>
      </c>
      <c r="L188" s="209"/>
      <c r="N188" s="209"/>
    </row>
    <row r="189" spans="1:14" x14ac:dyDescent="0.25">
      <c r="A189" t="str">
        <f>IF(E189&gt;0,"go","null")</f>
        <v>null</v>
      </c>
      <c r="B189" t="s">
        <v>37</v>
      </c>
      <c r="C189" t="s">
        <v>39</v>
      </c>
      <c r="D189" s="206">
        <f t="shared" si="17"/>
        <v>13</v>
      </c>
      <c r="E189" s="37">
        <f>MACRO!$B$27</f>
        <v>0</v>
      </c>
      <c r="G189" s="72" t="str">
        <f t="shared" si="16"/>
        <v/>
      </c>
      <c r="L189" s="209"/>
      <c r="N189" s="209"/>
    </row>
    <row r="190" spans="1:14" x14ac:dyDescent="0.25">
      <c r="A190" t="str">
        <f t="shared" ref="A190:A200" si="19">A189</f>
        <v>null</v>
      </c>
      <c r="B190" t="s">
        <v>37</v>
      </c>
      <c r="C190" t="s">
        <v>40</v>
      </c>
      <c r="D190" s="206">
        <f t="shared" si="17"/>
        <v>13</v>
      </c>
      <c r="E190" t="s">
        <v>54</v>
      </c>
      <c r="F190" s="14"/>
      <c r="G190" s="72" t="str">
        <f t="shared" si="16"/>
        <v/>
      </c>
      <c r="L190" s="209"/>
      <c r="N190" s="209"/>
    </row>
    <row r="191" spans="1:14" x14ac:dyDescent="0.25">
      <c r="A191" t="str">
        <f t="shared" si="19"/>
        <v>null</v>
      </c>
      <c r="B191" t="s">
        <v>37</v>
      </c>
      <c r="C191" t="s">
        <v>41</v>
      </c>
      <c r="D191" s="206">
        <f t="shared" si="17"/>
        <v>13</v>
      </c>
      <c r="E191" s="65">
        <f>MACRO!$C$27</f>
        <v>0</v>
      </c>
      <c r="G191" s="72" t="str">
        <f t="shared" si="16"/>
        <v/>
      </c>
      <c r="L191" s="209"/>
      <c r="N191" s="209"/>
    </row>
    <row r="192" spans="1:14" x14ac:dyDescent="0.25">
      <c r="A192" t="str">
        <f t="shared" si="19"/>
        <v>null</v>
      </c>
      <c r="B192" t="s">
        <v>37</v>
      </c>
      <c r="C192" t="s">
        <v>42</v>
      </c>
      <c r="D192" s="206">
        <f t="shared" si="17"/>
        <v>13</v>
      </c>
      <c r="E192" s="71">
        <f>MACRO!$D$27</f>
        <v>0</v>
      </c>
      <c r="F192" s="14"/>
      <c r="G192" s="72" t="str">
        <f t="shared" si="16"/>
        <v/>
      </c>
      <c r="L192" s="209"/>
      <c r="N192" s="209"/>
    </row>
    <row r="193" spans="1:14" x14ac:dyDescent="0.25">
      <c r="A193" t="str">
        <f t="shared" si="19"/>
        <v>null</v>
      </c>
      <c r="B193" t="s">
        <v>37</v>
      </c>
      <c r="C193" t="s">
        <v>43</v>
      </c>
      <c r="D193" s="206">
        <f t="shared" si="17"/>
        <v>13</v>
      </c>
      <c r="E193" s="211">
        <f>MACRO!$F$27</f>
        <v>0</v>
      </c>
      <c r="G193" s="72" t="str">
        <f t="shared" si="16"/>
        <v/>
      </c>
      <c r="L193" s="209"/>
      <c r="N193" s="209"/>
    </row>
    <row r="194" spans="1:14" x14ac:dyDescent="0.25">
      <c r="A194" t="str">
        <f t="shared" si="19"/>
        <v>null</v>
      </c>
      <c r="B194" t="s">
        <v>37</v>
      </c>
      <c r="C194" t="s">
        <v>44</v>
      </c>
      <c r="D194" s="206">
        <f t="shared" si="17"/>
        <v>13</v>
      </c>
      <c r="E194" s="212">
        <f>MACRO!$G$27</f>
        <v>0</v>
      </c>
      <c r="G194" s="72" t="str">
        <f t="shared" si="16"/>
        <v/>
      </c>
      <c r="L194" s="209"/>
      <c r="N194" s="209"/>
    </row>
    <row r="195" spans="1:14" x14ac:dyDescent="0.25">
      <c r="A195" t="str">
        <f t="shared" si="19"/>
        <v>null</v>
      </c>
      <c r="B195" t="s">
        <v>37</v>
      </c>
      <c r="C195" s="16" t="s">
        <v>45</v>
      </c>
      <c r="D195" s="206">
        <f t="shared" si="17"/>
        <v>13</v>
      </c>
      <c r="E195" s="71">
        <f>ROUND(MACRO!$J$27,2)</f>
        <v>0</v>
      </c>
      <c r="G195" s="72" t="str">
        <f t="shared" si="16"/>
        <v/>
      </c>
      <c r="L195" s="209"/>
      <c r="N195" s="209"/>
    </row>
    <row r="196" spans="1:14" x14ac:dyDescent="0.25">
      <c r="A196" t="str">
        <f t="shared" si="19"/>
        <v>null</v>
      </c>
      <c r="B196" t="s">
        <v>37</v>
      </c>
      <c r="C196" t="s">
        <v>46</v>
      </c>
      <c r="D196" s="206">
        <f t="shared" si="17"/>
        <v>13</v>
      </c>
      <c r="E196" s="1">
        <f>IF($E$41=10,1000,9996)</f>
        <v>1000</v>
      </c>
      <c r="F196" s="14"/>
      <c r="G196" s="72" t="str">
        <f t="shared" si="16"/>
        <v/>
      </c>
      <c r="L196" s="209"/>
      <c r="N196" s="209"/>
    </row>
    <row r="197" spans="1:14" x14ac:dyDescent="0.25">
      <c r="A197" t="str">
        <f t="shared" si="19"/>
        <v>null</v>
      </c>
      <c r="B197" t="s">
        <v>37</v>
      </c>
      <c r="C197" t="s">
        <v>47</v>
      </c>
      <c r="D197" s="206">
        <f t="shared" si="17"/>
        <v>13</v>
      </c>
      <c r="E197" s="70">
        <f>MACRO!$H$27</f>
        <v>0</v>
      </c>
      <c r="F197" s="14"/>
      <c r="G197" s="72" t="str">
        <f t="shared" si="16"/>
        <v/>
      </c>
      <c r="L197" s="209"/>
      <c r="N197" s="209"/>
    </row>
    <row r="198" spans="1:14" x14ac:dyDescent="0.25">
      <c r="A198" t="str">
        <f t="shared" si="19"/>
        <v>null</v>
      </c>
      <c r="B198" t="s">
        <v>37</v>
      </c>
      <c r="C198" t="s">
        <v>48</v>
      </c>
      <c r="D198" s="206">
        <f t="shared" si="17"/>
        <v>13</v>
      </c>
      <c r="E198" s="210">
        <f>MACRO!I27</f>
        <v>0</v>
      </c>
      <c r="F198" s="14"/>
      <c r="G198" s="72" t="str">
        <f t="shared" si="16"/>
        <v/>
      </c>
      <c r="L198" s="209"/>
      <c r="N198" s="209"/>
    </row>
    <row r="199" spans="1:14" x14ac:dyDescent="0.25">
      <c r="A199" t="str">
        <f t="shared" si="19"/>
        <v>null</v>
      </c>
      <c r="B199" t="s">
        <v>37</v>
      </c>
      <c r="C199" s="16" t="s">
        <v>49</v>
      </c>
      <c r="D199" s="206">
        <f t="shared" si="17"/>
        <v>13</v>
      </c>
      <c r="E199" s="71">
        <f>ROUND(MACRO!$I$27,2)</f>
        <v>0</v>
      </c>
      <c r="G199" s="72" t="str">
        <f t="shared" si="16"/>
        <v/>
      </c>
      <c r="L199" s="209"/>
      <c r="N199" s="209"/>
    </row>
    <row r="200" spans="1:14" x14ac:dyDescent="0.25">
      <c r="A200" t="str">
        <f t="shared" si="19"/>
        <v>null</v>
      </c>
      <c r="B200" t="s">
        <v>37</v>
      </c>
      <c r="C200" t="s">
        <v>110</v>
      </c>
      <c r="D200" s="206">
        <f t="shared" si="17"/>
        <v>13</v>
      </c>
      <c r="E200" s="11">
        <f>MACRO!E27</f>
        <v>0</v>
      </c>
      <c r="G200" s="72" t="str">
        <f t="shared" si="16"/>
        <v/>
      </c>
      <c r="L200" s="209"/>
      <c r="N200" s="209"/>
    </row>
    <row r="201" spans="1:14" x14ac:dyDescent="0.25">
      <c r="A201" t="str">
        <f>A202</f>
        <v>null</v>
      </c>
      <c r="B201" t="s">
        <v>37</v>
      </c>
      <c r="C201" t="s">
        <v>38</v>
      </c>
      <c r="D201" s="206">
        <f t="shared" si="17"/>
        <v>14</v>
      </c>
      <c r="E201" s="215">
        <f>MACRO!A28</f>
        <v>14</v>
      </c>
      <c r="G201" s="72" t="str">
        <f t="shared" si="16"/>
        <v/>
      </c>
      <c r="L201" s="209"/>
      <c r="N201" s="209"/>
    </row>
    <row r="202" spans="1:14" x14ac:dyDescent="0.25">
      <c r="A202" t="str">
        <f>IF(E202&gt;0,"go","null")</f>
        <v>null</v>
      </c>
      <c r="B202" t="s">
        <v>37</v>
      </c>
      <c r="C202" t="s">
        <v>39</v>
      </c>
      <c r="D202" s="206">
        <f t="shared" si="17"/>
        <v>14</v>
      </c>
      <c r="E202" s="37">
        <f>MACRO!$B$28</f>
        <v>0</v>
      </c>
      <c r="G202" s="72" t="str">
        <f t="shared" si="16"/>
        <v/>
      </c>
      <c r="L202" s="209"/>
      <c r="N202" s="209"/>
    </row>
    <row r="203" spans="1:14" x14ac:dyDescent="0.25">
      <c r="A203" t="str">
        <f t="shared" ref="A203:A213" si="20">A202</f>
        <v>null</v>
      </c>
      <c r="B203" t="s">
        <v>37</v>
      </c>
      <c r="C203" t="s">
        <v>40</v>
      </c>
      <c r="D203" s="206">
        <f t="shared" si="17"/>
        <v>14</v>
      </c>
      <c r="E203" t="s">
        <v>54</v>
      </c>
      <c r="F203" s="14"/>
      <c r="G203" s="72" t="str">
        <f t="shared" si="16"/>
        <v/>
      </c>
      <c r="L203" s="209"/>
      <c r="N203" s="209"/>
    </row>
    <row r="204" spans="1:14" x14ac:dyDescent="0.25">
      <c r="A204" t="str">
        <f t="shared" si="20"/>
        <v>null</v>
      </c>
      <c r="B204" t="s">
        <v>37</v>
      </c>
      <c r="C204" t="s">
        <v>41</v>
      </c>
      <c r="D204" s="206">
        <f t="shared" si="17"/>
        <v>14</v>
      </c>
      <c r="E204" s="65">
        <f>MACRO!$C$28</f>
        <v>0</v>
      </c>
      <c r="G204" s="72" t="str">
        <f t="shared" si="16"/>
        <v/>
      </c>
      <c r="L204" s="209"/>
      <c r="N204" s="209"/>
    </row>
    <row r="205" spans="1:14" x14ac:dyDescent="0.25">
      <c r="A205" t="str">
        <f t="shared" si="20"/>
        <v>null</v>
      </c>
      <c r="B205" t="s">
        <v>37</v>
      </c>
      <c r="C205" t="s">
        <v>42</v>
      </c>
      <c r="D205" s="206">
        <f t="shared" si="17"/>
        <v>14</v>
      </c>
      <c r="E205" s="71">
        <f>MACRO!$D$28</f>
        <v>0</v>
      </c>
      <c r="F205" s="14"/>
      <c r="G205" s="72" t="str">
        <f t="shared" si="16"/>
        <v/>
      </c>
      <c r="L205" s="209"/>
      <c r="N205" s="209"/>
    </row>
    <row r="206" spans="1:14" x14ac:dyDescent="0.25">
      <c r="A206" t="str">
        <f t="shared" si="20"/>
        <v>null</v>
      </c>
      <c r="B206" t="s">
        <v>37</v>
      </c>
      <c r="C206" t="s">
        <v>43</v>
      </c>
      <c r="D206" s="206">
        <f t="shared" si="17"/>
        <v>14</v>
      </c>
      <c r="E206" s="211">
        <f>MACRO!$F$28</f>
        <v>0</v>
      </c>
      <c r="G206" s="72" t="str">
        <f t="shared" si="16"/>
        <v/>
      </c>
      <c r="L206" s="209"/>
      <c r="N206" s="209"/>
    </row>
    <row r="207" spans="1:14" x14ac:dyDescent="0.25">
      <c r="A207" t="str">
        <f t="shared" si="20"/>
        <v>null</v>
      </c>
      <c r="B207" t="s">
        <v>37</v>
      </c>
      <c r="C207" t="s">
        <v>44</v>
      </c>
      <c r="D207" s="206">
        <f t="shared" si="17"/>
        <v>14</v>
      </c>
      <c r="E207" s="212">
        <f>MACRO!$G$28</f>
        <v>0</v>
      </c>
      <c r="G207" s="72" t="str">
        <f t="shared" si="16"/>
        <v/>
      </c>
      <c r="L207" s="209"/>
      <c r="N207" s="209"/>
    </row>
    <row r="208" spans="1:14" x14ac:dyDescent="0.25">
      <c r="A208" t="str">
        <f t="shared" si="20"/>
        <v>null</v>
      </c>
      <c r="B208" t="s">
        <v>37</v>
      </c>
      <c r="C208" s="16" t="s">
        <v>45</v>
      </c>
      <c r="D208" s="206">
        <f t="shared" si="17"/>
        <v>14</v>
      </c>
      <c r="E208" s="71">
        <f>ROUND(MACRO!$J$28,2)</f>
        <v>0</v>
      </c>
      <c r="G208" s="72" t="str">
        <f t="shared" si="16"/>
        <v/>
      </c>
      <c r="L208" s="209"/>
      <c r="N208" s="209"/>
    </row>
    <row r="209" spans="1:14" x14ac:dyDescent="0.25">
      <c r="A209" t="str">
        <f t="shared" si="20"/>
        <v>null</v>
      </c>
      <c r="B209" t="s">
        <v>37</v>
      </c>
      <c r="C209" t="s">
        <v>46</v>
      </c>
      <c r="D209" s="206">
        <f t="shared" si="17"/>
        <v>14</v>
      </c>
      <c r="E209" s="1">
        <f>IF($E$41=10,1000,9996)</f>
        <v>1000</v>
      </c>
      <c r="F209" s="14"/>
      <c r="G209" s="72" t="str">
        <f t="shared" si="16"/>
        <v/>
      </c>
      <c r="L209" s="209"/>
      <c r="N209" s="209"/>
    </row>
    <row r="210" spans="1:14" x14ac:dyDescent="0.25">
      <c r="A210" t="str">
        <f t="shared" si="20"/>
        <v>null</v>
      </c>
      <c r="B210" t="s">
        <v>37</v>
      </c>
      <c r="C210" t="s">
        <v>47</v>
      </c>
      <c r="D210" s="206">
        <f t="shared" si="17"/>
        <v>14</v>
      </c>
      <c r="E210" s="70">
        <f>MACRO!$H$28</f>
        <v>0</v>
      </c>
      <c r="F210" s="14"/>
      <c r="G210" s="72" t="str">
        <f t="shared" si="16"/>
        <v/>
      </c>
      <c r="L210" s="209"/>
      <c r="N210" s="209"/>
    </row>
    <row r="211" spans="1:14" x14ac:dyDescent="0.25">
      <c r="A211" t="str">
        <f t="shared" si="20"/>
        <v>null</v>
      </c>
      <c r="B211" t="s">
        <v>37</v>
      </c>
      <c r="C211" t="s">
        <v>48</v>
      </c>
      <c r="D211" s="206">
        <f t="shared" si="17"/>
        <v>14</v>
      </c>
      <c r="E211" s="210">
        <f>MACRO!I28</f>
        <v>0</v>
      </c>
      <c r="F211" s="14"/>
      <c r="G211" s="72" t="str">
        <f t="shared" si="16"/>
        <v/>
      </c>
      <c r="L211" s="209"/>
      <c r="N211" s="209"/>
    </row>
    <row r="212" spans="1:14" x14ac:dyDescent="0.25">
      <c r="A212" t="str">
        <f t="shared" si="20"/>
        <v>null</v>
      </c>
      <c r="B212" t="s">
        <v>37</v>
      </c>
      <c r="C212" s="16" t="s">
        <v>49</v>
      </c>
      <c r="D212" s="206">
        <f t="shared" si="17"/>
        <v>14</v>
      </c>
      <c r="E212" s="71">
        <f>ROUND(MACRO!$I$28,2)</f>
        <v>0</v>
      </c>
      <c r="G212" s="72" t="str">
        <f t="shared" si="16"/>
        <v/>
      </c>
      <c r="L212" s="209"/>
      <c r="N212" s="209"/>
    </row>
    <row r="213" spans="1:14" x14ac:dyDescent="0.25">
      <c r="A213" t="str">
        <f t="shared" si="20"/>
        <v>null</v>
      </c>
      <c r="B213" t="s">
        <v>37</v>
      </c>
      <c r="C213" t="s">
        <v>110</v>
      </c>
      <c r="D213" s="206">
        <f t="shared" si="17"/>
        <v>14</v>
      </c>
      <c r="E213" s="11">
        <f>MACRO!E28</f>
        <v>0</v>
      </c>
      <c r="G213" s="72" t="str">
        <f t="shared" si="16"/>
        <v/>
      </c>
      <c r="L213" s="209"/>
      <c r="N213" s="209"/>
    </row>
    <row r="214" spans="1:14" x14ac:dyDescent="0.25">
      <c r="A214" t="str">
        <f>A215</f>
        <v>null</v>
      </c>
      <c r="B214" t="s">
        <v>37</v>
      </c>
      <c r="C214" t="s">
        <v>38</v>
      </c>
      <c r="D214" s="206">
        <f t="shared" si="17"/>
        <v>15</v>
      </c>
      <c r="E214" s="215">
        <f>MACRO!A29</f>
        <v>15</v>
      </c>
      <c r="G214" s="72" t="str">
        <f t="shared" si="16"/>
        <v/>
      </c>
      <c r="L214" s="209"/>
      <c r="N214" s="209"/>
    </row>
    <row r="215" spans="1:14" x14ac:dyDescent="0.25">
      <c r="A215" t="str">
        <f>IF(E215&gt;0,"go","null")</f>
        <v>null</v>
      </c>
      <c r="B215" t="s">
        <v>37</v>
      </c>
      <c r="C215" t="s">
        <v>39</v>
      </c>
      <c r="D215" s="206">
        <f t="shared" si="17"/>
        <v>15</v>
      </c>
      <c r="E215" s="37">
        <f>MACRO!$B$29</f>
        <v>0</v>
      </c>
      <c r="G215" s="72" t="str">
        <f t="shared" si="16"/>
        <v/>
      </c>
      <c r="L215" s="209"/>
      <c r="N215" s="209"/>
    </row>
    <row r="216" spans="1:14" x14ac:dyDescent="0.25">
      <c r="A216" t="str">
        <f t="shared" ref="A216:A226" si="21">A215</f>
        <v>null</v>
      </c>
      <c r="B216" t="s">
        <v>37</v>
      </c>
      <c r="C216" t="s">
        <v>40</v>
      </c>
      <c r="D216" s="206">
        <f t="shared" si="17"/>
        <v>15</v>
      </c>
      <c r="E216" t="s">
        <v>54</v>
      </c>
      <c r="F216" s="14"/>
      <c r="G216" s="72" t="str">
        <f t="shared" si="16"/>
        <v/>
      </c>
      <c r="L216" s="209"/>
      <c r="N216" s="209"/>
    </row>
    <row r="217" spans="1:14" x14ac:dyDescent="0.25">
      <c r="A217" t="str">
        <f t="shared" si="21"/>
        <v>null</v>
      </c>
      <c r="B217" t="s">
        <v>37</v>
      </c>
      <c r="C217" t="s">
        <v>41</v>
      </c>
      <c r="D217" s="206">
        <f t="shared" si="17"/>
        <v>15</v>
      </c>
      <c r="E217" s="65">
        <f>MACRO!$C$29</f>
        <v>0</v>
      </c>
      <c r="G217" s="72" t="str">
        <f t="shared" si="16"/>
        <v/>
      </c>
      <c r="L217" s="209"/>
      <c r="N217" s="209"/>
    </row>
    <row r="218" spans="1:14" x14ac:dyDescent="0.25">
      <c r="A218" t="str">
        <f t="shared" si="21"/>
        <v>null</v>
      </c>
      <c r="B218" t="s">
        <v>37</v>
      </c>
      <c r="C218" t="s">
        <v>42</v>
      </c>
      <c r="D218" s="206">
        <f t="shared" si="17"/>
        <v>15</v>
      </c>
      <c r="E218" s="71">
        <f>MACRO!$D$29</f>
        <v>0</v>
      </c>
      <c r="F218" s="14"/>
      <c r="G218" s="72" t="str">
        <f t="shared" si="16"/>
        <v/>
      </c>
      <c r="L218" s="209"/>
      <c r="N218" s="209"/>
    </row>
    <row r="219" spans="1:14" x14ac:dyDescent="0.25">
      <c r="A219" t="str">
        <f t="shared" si="21"/>
        <v>null</v>
      </c>
      <c r="B219" t="s">
        <v>37</v>
      </c>
      <c r="C219" t="s">
        <v>43</v>
      </c>
      <c r="D219" s="206">
        <f t="shared" si="17"/>
        <v>15</v>
      </c>
      <c r="E219" s="211">
        <f>MACRO!$F$29</f>
        <v>0</v>
      </c>
      <c r="G219" s="72" t="str">
        <f t="shared" si="16"/>
        <v/>
      </c>
      <c r="L219" s="209"/>
      <c r="N219" s="209"/>
    </row>
    <row r="220" spans="1:14" x14ac:dyDescent="0.25">
      <c r="A220" t="str">
        <f t="shared" si="21"/>
        <v>null</v>
      </c>
      <c r="B220" t="s">
        <v>37</v>
      </c>
      <c r="C220" t="s">
        <v>44</v>
      </c>
      <c r="D220" s="206">
        <f t="shared" si="17"/>
        <v>15</v>
      </c>
      <c r="E220" s="212">
        <f>MACRO!$G$29</f>
        <v>0</v>
      </c>
      <c r="G220" s="72" t="str">
        <f t="shared" si="16"/>
        <v/>
      </c>
      <c r="L220" s="209"/>
      <c r="N220" s="209"/>
    </row>
    <row r="221" spans="1:14" x14ac:dyDescent="0.25">
      <c r="A221" t="str">
        <f t="shared" si="21"/>
        <v>null</v>
      </c>
      <c r="B221" t="s">
        <v>37</v>
      </c>
      <c r="C221" s="16" t="s">
        <v>45</v>
      </c>
      <c r="D221" s="206">
        <f t="shared" si="17"/>
        <v>15</v>
      </c>
      <c r="E221" s="71">
        <f>ROUND(MACRO!$J$29,2)</f>
        <v>0</v>
      </c>
      <c r="G221" s="72" t="str">
        <f t="shared" si="16"/>
        <v/>
      </c>
      <c r="L221" s="209"/>
      <c r="N221" s="209"/>
    </row>
    <row r="222" spans="1:14" x14ac:dyDescent="0.25">
      <c r="A222" t="str">
        <f t="shared" si="21"/>
        <v>null</v>
      </c>
      <c r="B222" t="s">
        <v>37</v>
      </c>
      <c r="C222" t="s">
        <v>46</v>
      </c>
      <c r="D222" s="206">
        <f t="shared" si="17"/>
        <v>15</v>
      </c>
      <c r="E222" s="1">
        <f>IF($E$41=10,1000,9996)</f>
        <v>1000</v>
      </c>
      <c r="F222" s="14"/>
      <c r="G222" s="72" t="str">
        <f t="shared" si="16"/>
        <v/>
      </c>
      <c r="L222" s="209"/>
      <c r="N222" s="209"/>
    </row>
    <row r="223" spans="1:14" x14ac:dyDescent="0.25">
      <c r="A223" t="str">
        <f t="shared" si="21"/>
        <v>null</v>
      </c>
      <c r="B223" t="s">
        <v>37</v>
      </c>
      <c r="C223" t="s">
        <v>47</v>
      </c>
      <c r="D223" s="206">
        <f t="shared" si="17"/>
        <v>15</v>
      </c>
      <c r="E223" s="70">
        <f>MACRO!$H$29</f>
        <v>0</v>
      </c>
      <c r="F223" s="14"/>
      <c r="G223" s="72" t="str">
        <f t="shared" si="16"/>
        <v/>
      </c>
      <c r="L223" s="209"/>
      <c r="N223" s="209"/>
    </row>
    <row r="224" spans="1:14" x14ac:dyDescent="0.25">
      <c r="A224" t="str">
        <f t="shared" si="21"/>
        <v>null</v>
      </c>
      <c r="B224" t="s">
        <v>37</v>
      </c>
      <c r="C224" t="s">
        <v>48</v>
      </c>
      <c r="D224" s="206">
        <f t="shared" si="17"/>
        <v>15</v>
      </c>
      <c r="E224" s="210">
        <f>MACRO!I29</f>
        <v>0</v>
      </c>
      <c r="F224" s="14"/>
      <c r="G224" s="72" t="str">
        <f t="shared" si="16"/>
        <v/>
      </c>
      <c r="L224" s="209"/>
      <c r="N224" s="209"/>
    </row>
    <row r="225" spans="1:14" x14ac:dyDescent="0.25">
      <c r="A225" t="str">
        <f t="shared" si="21"/>
        <v>null</v>
      </c>
      <c r="B225" t="s">
        <v>37</v>
      </c>
      <c r="C225" s="16" t="s">
        <v>49</v>
      </c>
      <c r="D225" s="206">
        <f t="shared" si="17"/>
        <v>15</v>
      </c>
      <c r="E225" s="71">
        <f>ROUND(MACRO!$I$29,2)</f>
        <v>0</v>
      </c>
      <c r="G225" s="72" t="str">
        <f t="shared" si="16"/>
        <v/>
      </c>
      <c r="L225" s="209"/>
      <c r="N225" s="209"/>
    </row>
    <row r="226" spans="1:14" x14ac:dyDescent="0.25">
      <c r="A226" t="str">
        <f t="shared" si="21"/>
        <v>null</v>
      </c>
      <c r="B226" t="s">
        <v>37</v>
      </c>
      <c r="C226" t="s">
        <v>110</v>
      </c>
      <c r="D226" s="206">
        <f t="shared" si="17"/>
        <v>15</v>
      </c>
      <c r="E226" s="11">
        <f>MACRO!E29</f>
        <v>0</v>
      </c>
      <c r="G226" s="72" t="str">
        <f t="shared" si="16"/>
        <v/>
      </c>
      <c r="L226" s="209"/>
      <c r="N226" s="209"/>
    </row>
    <row r="227" spans="1:14" x14ac:dyDescent="0.25">
      <c r="A227" t="str">
        <f>A228</f>
        <v>null</v>
      </c>
      <c r="B227" t="s">
        <v>37</v>
      </c>
      <c r="C227" t="s">
        <v>38</v>
      </c>
      <c r="D227" s="206">
        <f t="shared" si="17"/>
        <v>16</v>
      </c>
      <c r="E227" s="215">
        <f>MACRO!A30</f>
        <v>16</v>
      </c>
      <c r="G227" s="72" t="str">
        <f t="shared" si="16"/>
        <v/>
      </c>
      <c r="L227" s="209"/>
      <c r="N227" s="209"/>
    </row>
    <row r="228" spans="1:14" x14ac:dyDescent="0.25">
      <c r="A228" t="str">
        <f>IF(E228&gt;0,"go","null")</f>
        <v>null</v>
      </c>
      <c r="B228" t="s">
        <v>37</v>
      </c>
      <c r="C228" t="s">
        <v>39</v>
      </c>
      <c r="D228" s="206">
        <f t="shared" si="17"/>
        <v>16</v>
      </c>
      <c r="E228" s="37">
        <f>MACRO!$B$30</f>
        <v>0</v>
      </c>
      <c r="G228" s="72" t="str">
        <f t="shared" ref="G228:G291" si="22">IF($A228="go",CONCATENATE($B228,";",$C228,";",$D228,";",$E228),"")</f>
        <v/>
      </c>
      <c r="L228" s="209"/>
      <c r="N228" s="209"/>
    </row>
    <row r="229" spans="1:14" x14ac:dyDescent="0.25">
      <c r="A229" t="str">
        <f t="shared" ref="A229:A239" si="23">A228</f>
        <v>null</v>
      </c>
      <c r="B229" t="s">
        <v>37</v>
      </c>
      <c r="C229" t="s">
        <v>40</v>
      </c>
      <c r="D229" s="206">
        <f t="shared" si="17"/>
        <v>16</v>
      </c>
      <c r="E229" t="s">
        <v>54</v>
      </c>
      <c r="F229" s="14"/>
      <c r="G229" s="72" t="str">
        <f t="shared" si="22"/>
        <v/>
      </c>
      <c r="L229" s="209"/>
      <c r="N229" s="209"/>
    </row>
    <row r="230" spans="1:14" x14ac:dyDescent="0.25">
      <c r="A230" t="str">
        <f t="shared" si="23"/>
        <v>null</v>
      </c>
      <c r="B230" t="s">
        <v>37</v>
      </c>
      <c r="C230" t="s">
        <v>41</v>
      </c>
      <c r="D230" s="206">
        <f t="shared" si="17"/>
        <v>16</v>
      </c>
      <c r="E230" s="65">
        <f>MACRO!$C$30</f>
        <v>0</v>
      </c>
      <c r="G230" s="72" t="str">
        <f t="shared" si="22"/>
        <v/>
      </c>
      <c r="L230" s="209"/>
      <c r="N230" s="209"/>
    </row>
    <row r="231" spans="1:14" x14ac:dyDescent="0.25">
      <c r="A231" t="str">
        <f t="shared" si="23"/>
        <v>null</v>
      </c>
      <c r="B231" t="s">
        <v>37</v>
      </c>
      <c r="C231" t="s">
        <v>42</v>
      </c>
      <c r="D231" s="206">
        <f t="shared" si="17"/>
        <v>16</v>
      </c>
      <c r="E231" s="71">
        <f>MACRO!$D$30</f>
        <v>0</v>
      </c>
      <c r="F231" s="14"/>
      <c r="G231" s="72" t="str">
        <f t="shared" si="22"/>
        <v/>
      </c>
      <c r="L231" s="209"/>
      <c r="N231" s="209"/>
    </row>
    <row r="232" spans="1:14" x14ac:dyDescent="0.25">
      <c r="A232" t="str">
        <f t="shared" si="23"/>
        <v>null</v>
      </c>
      <c r="B232" t="s">
        <v>37</v>
      </c>
      <c r="C232" t="s">
        <v>43</v>
      </c>
      <c r="D232" s="206">
        <f t="shared" si="17"/>
        <v>16</v>
      </c>
      <c r="E232" s="211">
        <f>MACRO!$F$30</f>
        <v>0</v>
      </c>
      <c r="G232" s="72" t="str">
        <f t="shared" si="22"/>
        <v/>
      </c>
      <c r="L232" s="209"/>
      <c r="N232" s="209"/>
    </row>
    <row r="233" spans="1:14" x14ac:dyDescent="0.25">
      <c r="A233" t="str">
        <f t="shared" si="23"/>
        <v>null</v>
      </c>
      <c r="B233" t="s">
        <v>37</v>
      </c>
      <c r="C233" t="s">
        <v>44</v>
      </c>
      <c r="D233" s="206">
        <f t="shared" si="17"/>
        <v>16</v>
      </c>
      <c r="E233" s="212">
        <f>MACRO!$G$30</f>
        <v>0</v>
      </c>
      <c r="G233" s="72" t="str">
        <f t="shared" si="22"/>
        <v/>
      </c>
      <c r="L233" s="209"/>
      <c r="N233" s="209"/>
    </row>
    <row r="234" spans="1:14" x14ac:dyDescent="0.25">
      <c r="A234" t="str">
        <f t="shared" si="23"/>
        <v>null</v>
      </c>
      <c r="B234" t="s">
        <v>37</v>
      </c>
      <c r="C234" s="16" t="s">
        <v>45</v>
      </c>
      <c r="D234" s="206">
        <f t="shared" si="17"/>
        <v>16</v>
      </c>
      <c r="E234" s="71">
        <f>ROUND(MACRO!$J$30,2)</f>
        <v>0</v>
      </c>
      <c r="G234" s="72" t="str">
        <f t="shared" si="22"/>
        <v/>
      </c>
      <c r="L234" s="209"/>
      <c r="N234" s="209"/>
    </row>
    <row r="235" spans="1:14" x14ac:dyDescent="0.25">
      <c r="A235" t="str">
        <f t="shared" si="23"/>
        <v>null</v>
      </c>
      <c r="B235" t="s">
        <v>37</v>
      </c>
      <c r="C235" t="s">
        <v>46</v>
      </c>
      <c r="D235" s="206">
        <f t="shared" si="17"/>
        <v>16</v>
      </c>
      <c r="E235" s="1">
        <f>IF($E$41=10,1000,9996)</f>
        <v>1000</v>
      </c>
      <c r="F235" s="14"/>
      <c r="G235" s="72" t="str">
        <f t="shared" si="22"/>
        <v/>
      </c>
      <c r="L235" s="209"/>
      <c r="N235" s="209"/>
    </row>
    <row r="236" spans="1:14" x14ac:dyDescent="0.25">
      <c r="A236" t="str">
        <f t="shared" si="23"/>
        <v>null</v>
      </c>
      <c r="B236" t="s">
        <v>37</v>
      </c>
      <c r="C236" t="s">
        <v>47</v>
      </c>
      <c r="D236" s="206">
        <f t="shared" si="17"/>
        <v>16</v>
      </c>
      <c r="E236" s="70">
        <f>MACRO!$H$30</f>
        <v>0</v>
      </c>
      <c r="F236" s="14"/>
      <c r="G236" s="72" t="str">
        <f t="shared" si="22"/>
        <v/>
      </c>
      <c r="L236" s="209"/>
      <c r="N236" s="209"/>
    </row>
    <row r="237" spans="1:14" x14ac:dyDescent="0.25">
      <c r="A237" t="str">
        <f t="shared" si="23"/>
        <v>null</v>
      </c>
      <c r="B237" t="s">
        <v>37</v>
      </c>
      <c r="C237" t="s">
        <v>48</v>
      </c>
      <c r="D237" s="206">
        <f t="shared" si="17"/>
        <v>16</v>
      </c>
      <c r="E237" s="210">
        <f>MACRO!I30</f>
        <v>0</v>
      </c>
      <c r="F237" s="14"/>
      <c r="G237" s="72" t="str">
        <f t="shared" si="22"/>
        <v/>
      </c>
      <c r="L237" s="209"/>
      <c r="N237" s="209"/>
    </row>
    <row r="238" spans="1:14" x14ac:dyDescent="0.25">
      <c r="A238" t="str">
        <f t="shared" si="23"/>
        <v>null</v>
      </c>
      <c r="B238" t="s">
        <v>37</v>
      </c>
      <c r="C238" s="16" t="s">
        <v>49</v>
      </c>
      <c r="D238" s="206">
        <f t="shared" ref="D238:D301" si="24">IF(C238="NroLinDet",D237+1,D237)</f>
        <v>16</v>
      </c>
      <c r="E238" s="71">
        <f>ROUND(MACRO!$I$30,2)</f>
        <v>0</v>
      </c>
      <c r="G238" s="72" t="str">
        <f t="shared" si="22"/>
        <v/>
      </c>
      <c r="L238" s="209"/>
      <c r="N238" s="209"/>
    </row>
    <row r="239" spans="1:14" x14ac:dyDescent="0.25">
      <c r="A239" t="str">
        <f t="shared" si="23"/>
        <v>null</v>
      </c>
      <c r="B239" t="s">
        <v>37</v>
      </c>
      <c r="C239" t="s">
        <v>110</v>
      </c>
      <c r="D239" s="206">
        <f t="shared" si="24"/>
        <v>16</v>
      </c>
      <c r="E239" s="11">
        <f>MACRO!E30</f>
        <v>0</v>
      </c>
      <c r="G239" s="72" t="str">
        <f t="shared" si="22"/>
        <v/>
      </c>
      <c r="L239" s="209"/>
      <c r="N239" s="209"/>
    </row>
    <row r="240" spans="1:14" x14ac:dyDescent="0.25">
      <c r="A240" t="str">
        <f>A241</f>
        <v>null</v>
      </c>
      <c r="B240" t="s">
        <v>37</v>
      </c>
      <c r="C240" t="s">
        <v>38</v>
      </c>
      <c r="D240" s="206">
        <f t="shared" si="24"/>
        <v>17</v>
      </c>
      <c r="E240" s="215">
        <f>MACRO!A31</f>
        <v>17</v>
      </c>
      <c r="G240" s="72" t="str">
        <f t="shared" si="22"/>
        <v/>
      </c>
      <c r="L240" s="209"/>
      <c r="N240" s="209"/>
    </row>
    <row r="241" spans="1:14" x14ac:dyDescent="0.25">
      <c r="A241" t="str">
        <f>IF(E241&gt;0,"go","null")</f>
        <v>null</v>
      </c>
      <c r="B241" t="s">
        <v>37</v>
      </c>
      <c r="C241" t="s">
        <v>39</v>
      </c>
      <c r="D241" s="206">
        <f t="shared" si="24"/>
        <v>17</v>
      </c>
      <c r="E241" s="37">
        <f>MACRO!$B$31</f>
        <v>0</v>
      </c>
      <c r="G241" s="72" t="str">
        <f t="shared" si="22"/>
        <v/>
      </c>
      <c r="L241" s="209"/>
      <c r="N241" s="209"/>
    </row>
    <row r="242" spans="1:14" x14ac:dyDescent="0.25">
      <c r="A242" t="str">
        <f t="shared" ref="A242:A252" si="25">A241</f>
        <v>null</v>
      </c>
      <c r="B242" t="s">
        <v>37</v>
      </c>
      <c r="C242" t="s">
        <v>40</v>
      </c>
      <c r="D242" s="206">
        <f t="shared" si="24"/>
        <v>17</v>
      </c>
      <c r="E242" t="s">
        <v>54</v>
      </c>
      <c r="F242" s="14"/>
      <c r="G242" s="72" t="str">
        <f t="shared" si="22"/>
        <v/>
      </c>
      <c r="L242" s="209"/>
      <c r="N242" s="209"/>
    </row>
    <row r="243" spans="1:14" x14ac:dyDescent="0.25">
      <c r="A243" t="str">
        <f t="shared" si="25"/>
        <v>null</v>
      </c>
      <c r="B243" t="s">
        <v>37</v>
      </c>
      <c r="C243" t="s">
        <v>41</v>
      </c>
      <c r="D243" s="206">
        <f t="shared" si="24"/>
        <v>17</v>
      </c>
      <c r="E243" s="65">
        <f>MACRO!$C$31</f>
        <v>0</v>
      </c>
      <c r="G243" s="72" t="str">
        <f t="shared" si="22"/>
        <v/>
      </c>
      <c r="L243" s="209"/>
      <c r="N243" s="209"/>
    </row>
    <row r="244" spans="1:14" x14ac:dyDescent="0.25">
      <c r="A244" t="str">
        <f t="shared" si="25"/>
        <v>null</v>
      </c>
      <c r="B244" t="s">
        <v>37</v>
      </c>
      <c r="C244" t="s">
        <v>42</v>
      </c>
      <c r="D244" s="206">
        <f t="shared" si="24"/>
        <v>17</v>
      </c>
      <c r="E244" s="71">
        <f>MACRO!$D$31</f>
        <v>0</v>
      </c>
      <c r="F244" s="14"/>
      <c r="G244" s="72" t="str">
        <f t="shared" si="22"/>
        <v/>
      </c>
      <c r="L244" s="209"/>
      <c r="N244" s="209"/>
    </row>
    <row r="245" spans="1:14" x14ac:dyDescent="0.25">
      <c r="A245" t="str">
        <f t="shared" si="25"/>
        <v>null</v>
      </c>
      <c r="B245" t="s">
        <v>37</v>
      </c>
      <c r="C245" t="s">
        <v>43</v>
      </c>
      <c r="D245" s="206">
        <f t="shared" si="24"/>
        <v>17</v>
      </c>
      <c r="E245" s="211">
        <f>MACRO!$F$31</f>
        <v>0</v>
      </c>
      <c r="G245" s="72" t="str">
        <f t="shared" si="22"/>
        <v/>
      </c>
      <c r="L245" s="209"/>
      <c r="N245" s="209"/>
    </row>
    <row r="246" spans="1:14" x14ac:dyDescent="0.25">
      <c r="A246" t="str">
        <f t="shared" si="25"/>
        <v>null</v>
      </c>
      <c r="B246" t="s">
        <v>37</v>
      </c>
      <c r="C246" t="s">
        <v>44</v>
      </c>
      <c r="D246" s="206">
        <f t="shared" si="24"/>
        <v>17</v>
      </c>
      <c r="E246" s="212">
        <f>MACRO!$G$31</f>
        <v>0</v>
      </c>
      <c r="G246" s="72" t="str">
        <f t="shared" si="22"/>
        <v/>
      </c>
      <c r="L246" s="209"/>
      <c r="N246" s="209"/>
    </row>
    <row r="247" spans="1:14" x14ac:dyDescent="0.25">
      <c r="A247" t="str">
        <f t="shared" si="25"/>
        <v>null</v>
      </c>
      <c r="B247" t="s">
        <v>37</v>
      </c>
      <c r="C247" s="16" t="s">
        <v>45</v>
      </c>
      <c r="D247" s="206">
        <f t="shared" si="24"/>
        <v>17</v>
      </c>
      <c r="E247" s="71">
        <f>ROUND(MACRO!$J$31,2)</f>
        <v>0</v>
      </c>
      <c r="G247" s="72" t="str">
        <f t="shared" si="22"/>
        <v/>
      </c>
      <c r="L247" s="209"/>
      <c r="N247" s="209"/>
    </row>
    <row r="248" spans="1:14" x14ac:dyDescent="0.25">
      <c r="A248" t="str">
        <f t="shared" si="25"/>
        <v>null</v>
      </c>
      <c r="B248" t="s">
        <v>37</v>
      </c>
      <c r="C248" t="s">
        <v>46</v>
      </c>
      <c r="D248" s="206">
        <f t="shared" si="24"/>
        <v>17</v>
      </c>
      <c r="E248" s="1">
        <f>IF($E$41=10,1000,9996)</f>
        <v>1000</v>
      </c>
      <c r="F248" s="14"/>
      <c r="G248" s="72" t="str">
        <f t="shared" si="22"/>
        <v/>
      </c>
      <c r="L248" s="209"/>
      <c r="N248" s="209"/>
    </row>
    <row r="249" spans="1:14" x14ac:dyDescent="0.25">
      <c r="A249" t="str">
        <f t="shared" si="25"/>
        <v>null</v>
      </c>
      <c r="B249" t="s">
        <v>37</v>
      </c>
      <c r="C249" t="s">
        <v>47</v>
      </c>
      <c r="D249" s="206">
        <f t="shared" si="24"/>
        <v>17</v>
      </c>
      <c r="E249" s="70">
        <f>MACRO!$H$31</f>
        <v>0</v>
      </c>
      <c r="F249" s="14"/>
      <c r="G249" s="72" t="str">
        <f t="shared" si="22"/>
        <v/>
      </c>
      <c r="L249" s="209"/>
      <c r="N249" s="209"/>
    </row>
    <row r="250" spans="1:14" x14ac:dyDescent="0.25">
      <c r="A250" t="str">
        <f t="shared" si="25"/>
        <v>null</v>
      </c>
      <c r="B250" t="s">
        <v>37</v>
      </c>
      <c r="C250" t="s">
        <v>48</v>
      </c>
      <c r="D250" s="206">
        <f t="shared" si="24"/>
        <v>17</v>
      </c>
      <c r="E250" s="210">
        <f>MACRO!I31</f>
        <v>0</v>
      </c>
      <c r="F250" s="14"/>
      <c r="G250" s="72" t="str">
        <f t="shared" si="22"/>
        <v/>
      </c>
      <c r="L250" s="209"/>
      <c r="N250" s="209"/>
    </row>
    <row r="251" spans="1:14" x14ac:dyDescent="0.25">
      <c r="A251" t="str">
        <f t="shared" si="25"/>
        <v>null</v>
      </c>
      <c r="B251" t="s">
        <v>37</v>
      </c>
      <c r="C251" s="16" t="s">
        <v>49</v>
      </c>
      <c r="D251" s="206">
        <f t="shared" si="24"/>
        <v>17</v>
      </c>
      <c r="E251" s="71">
        <f>ROUND(MACRO!$I$31,2)</f>
        <v>0</v>
      </c>
      <c r="G251" s="72" t="str">
        <f t="shared" si="22"/>
        <v/>
      </c>
      <c r="L251" s="209"/>
      <c r="N251" s="209"/>
    </row>
    <row r="252" spans="1:14" x14ac:dyDescent="0.25">
      <c r="A252" t="str">
        <f t="shared" si="25"/>
        <v>null</v>
      </c>
      <c r="B252" t="s">
        <v>37</v>
      </c>
      <c r="C252" t="s">
        <v>110</v>
      </c>
      <c r="D252" s="206">
        <f t="shared" si="24"/>
        <v>17</v>
      </c>
      <c r="E252" s="11">
        <f>MACRO!E31</f>
        <v>0</v>
      </c>
      <c r="G252" s="72" t="str">
        <f t="shared" si="22"/>
        <v/>
      </c>
      <c r="L252" s="209"/>
      <c r="N252" s="209"/>
    </row>
    <row r="253" spans="1:14" x14ac:dyDescent="0.25">
      <c r="A253" t="str">
        <f>A254</f>
        <v>null</v>
      </c>
      <c r="B253" t="s">
        <v>37</v>
      </c>
      <c r="C253" t="s">
        <v>38</v>
      </c>
      <c r="D253" s="206">
        <f t="shared" si="24"/>
        <v>18</v>
      </c>
      <c r="E253" s="215">
        <f>MACRO!A32</f>
        <v>18</v>
      </c>
      <c r="G253" s="72" t="str">
        <f t="shared" si="22"/>
        <v/>
      </c>
      <c r="L253" s="209"/>
      <c r="N253" s="209"/>
    </row>
    <row r="254" spans="1:14" x14ac:dyDescent="0.25">
      <c r="A254" t="str">
        <f>IF(E254&gt;0,"go","null")</f>
        <v>null</v>
      </c>
      <c r="B254" t="s">
        <v>37</v>
      </c>
      <c r="C254" t="s">
        <v>39</v>
      </c>
      <c r="D254" s="206">
        <f t="shared" si="24"/>
        <v>18</v>
      </c>
      <c r="E254" s="37">
        <f>MACRO!$B$32</f>
        <v>0</v>
      </c>
      <c r="G254" s="72" t="str">
        <f t="shared" si="22"/>
        <v/>
      </c>
      <c r="L254" s="209"/>
      <c r="N254" s="209"/>
    </row>
    <row r="255" spans="1:14" x14ac:dyDescent="0.25">
      <c r="A255" t="str">
        <f t="shared" ref="A255:A265" si="26">A254</f>
        <v>null</v>
      </c>
      <c r="B255" t="s">
        <v>37</v>
      </c>
      <c r="C255" t="s">
        <v>40</v>
      </c>
      <c r="D255" s="206">
        <f t="shared" si="24"/>
        <v>18</v>
      </c>
      <c r="E255" t="s">
        <v>54</v>
      </c>
      <c r="F255" s="14"/>
      <c r="G255" s="72" t="str">
        <f t="shared" si="22"/>
        <v/>
      </c>
      <c r="L255" s="209"/>
      <c r="N255" s="209"/>
    </row>
    <row r="256" spans="1:14" x14ac:dyDescent="0.25">
      <c r="A256" t="str">
        <f t="shared" si="26"/>
        <v>null</v>
      </c>
      <c r="B256" t="s">
        <v>37</v>
      </c>
      <c r="C256" t="s">
        <v>41</v>
      </c>
      <c r="D256" s="206">
        <f t="shared" si="24"/>
        <v>18</v>
      </c>
      <c r="E256" s="65">
        <f>MACRO!$C$32</f>
        <v>0</v>
      </c>
      <c r="G256" s="72" t="str">
        <f t="shared" si="22"/>
        <v/>
      </c>
      <c r="L256" s="209"/>
      <c r="N256" s="209"/>
    </row>
    <row r="257" spans="1:14" x14ac:dyDescent="0.25">
      <c r="A257" t="str">
        <f t="shared" si="26"/>
        <v>null</v>
      </c>
      <c r="B257" t="s">
        <v>37</v>
      </c>
      <c r="C257" t="s">
        <v>42</v>
      </c>
      <c r="D257" s="206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9"/>
      <c r="N257" s="209"/>
    </row>
    <row r="258" spans="1:14" x14ac:dyDescent="0.25">
      <c r="A258" t="str">
        <f t="shared" si="26"/>
        <v>null</v>
      </c>
      <c r="B258" t="s">
        <v>37</v>
      </c>
      <c r="C258" t="s">
        <v>43</v>
      </c>
      <c r="D258" s="206">
        <f t="shared" si="24"/>
        <v>18</v>
      </c>
      <c r="E258" s="211">
        <f>MACRO!$F$32</f>
        <v>0</v>
      </c>
      <c r="G258" s="72" t="str">
        <f t="shared" si="22"/>
        <v/>
      </c>
      <c r="L258" s="209"/>
      <c r="N258" s="209"/>
    </row>
    <row r="259" spans="1:14" x14ac:dyDescent="0.25">
      <c r="A259" t="str">
        <f t="shared" si="26"/>
        <v>null</v>
      </c>
      <c r="B259" t="s">
        <v>37</v>
      </c>
      <c r="C259" t="s">
        <v>44</v>
      </c>
      <c r="D259" s="206">
        <f t="shared" si="24"/>
        <v>18</v>
      </c>
      <c r="E259" s="212">
        <f>MACRO!$G$32</f>
        <v>0</v>
      </c>
      <c r="G259" s="72" t="str">
        <f t="shared" si="22"/>
        <v/>
      </c>
      <c r="L259" s="209"/>
      <c r="N259" s="209"/>
    </row>
    <row r="260" spans="1:14" x14ac:dyDescent="0.25">
      <c r="A260" t="str">
        <f t="shared" si="26"/>
        <v>null</v>
      </c>
      <c r="B260" t="s">
        <v>37</v>
      </c>
      <c r="C260" s="16" t="s">
        <v>45</v>
      </c>
      <c r="D260" s="206">
        <f t="shared" si="24"/>
        <v>18</v>
      </c>
      <c r="E260" s="71">
        <f>ROUND(MACRO!$J$32,2)</f>
        <v>0</v>
      </c>
      <c r="G260" s="72" t="str">
        <f t="shared" si="22"/>
        <v/>
      </c>
      <c r="L260" s="209"/>
      <c r="N260" s="209"/>
    </row>
    <row r="261" spans="1:14" x14ac:dyDescent="0.25">
      <c r="A261" t="str">
        <f t="shared" si="26"/>
        <v>null</v>
      </c>
      <c r="B261" t="s">
        <v>37</v>
      </c>
      <c r="C261" t="s">
        <v>46</v>
      </c>
      <c r="D261" s="206">
        <f t="shared" si="24"/>
        <v>18</v>
      </c>
      <c r="E261" s="1">
        <f>IF($E$41=10,1000,9996)</f>
        <v>1000</v>
      </c>
      <c r="F261" s="14"/>
      <c r="G261" s="72" t="str">
        <f t="shared" si="22"/>
        <v/>
      </c>
      <c r="L261" s="209"/>
      <c r="N261" s="209"/>
    </row>
    <row r="262" spans="1:14" x14ac:dyDescent="0.25">
      <c r="A262" t="str">
        <f t="shared" si="26"/>
        <v>null</v>
      </c>
      <c r="B262" t="s">
        <v>37</v>
      </c>
      <c r="C262" t="s">
        <v>47</v>
      </c>
      <c r="D262" s="206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9"/>
      <c r="N262" s="209"/>
    </row>
    <row r="263" spans="1:14" x14ac:dyDescent="0.25">
      <c r="A263" t="str">
        <f t="shared" si="26"/>
        <v>null</v>
      </c>
      <c r="B263" t="s">
        <v>37</v>
      </c>
      <c r="C263" t="s">
        <v>48</v>
      </c>
      <c r="D263" s="206">
        <f t="shared" si="24"/>
        <v>18</v>
      </c>
      <c r="E263" s="210">
        <f>MACRO!I32</f>
        <v>0</v>
      </c>
      <c r="F263" s="14"/>
      <c r="G263" s="72" t="str">
        <f t="shared" si="22"/>
        <v/>
      </c>
      <c r="L263" s="209"/>
      <c r="N263" s="209"/>
    </row>
    <row r="264" spans="1:14" x14ac:dyDescent="0.25">
      <c r="A264" t="str">
        <f t="shared" si="26"/>
        <v>null</v>
      </c>
      <c r="B264" t="s">
        <v>37</v>
      </c>
      <c r="C264" s="16" t="s">
        <v>49</v>
      </c>
      <c r="D264" s="206">
        <f t="shared" si="24"/>
        <v>18</v>
      </c>
      <c r="E264" s="71">
        <f>ROUND(MACRO!$I$32,2)</f>
        <v>0</v>
      </c>
      <c r="G264" s="72" t="str">
        <f t="shared" si="22"/>
        <v/>
      </c>
      <c r="L264" s="209"/>
      <c r="N264" s="209"/>
    </row>
    <row r="265" spans="1:14" x14ac:dyDescent="0.25">
      <c r="A265" t="str">
        <f t="shared" si="26"/>
        <v>null</v>
      </c>
      <c r="B265" t="s">
        <v>37</v>
      </c>
      <c r="C265" t="s">
        <v>110</v>
      </c>
      <c r="D265" s="206">
        <f t="shared" si="24"/>
        <v>18</v>
      </c>
      <c r="E265" s="11">
        <f>MACRO!E32</f>
        <v>0</v>
      </c>
      <c r="G265" s="72" t="str">
        <f t="shared" si="22"/>
        <v/>
      </c>
      <c r="L265" s="209"/>
      <c r="N265" s="209"/>
    </row>
    <row r="266" spans="1:14" x14ac:dyDescent="0.25">
      <c r="A266" t="str">
        <f>A267</f>
        <v>null</v>
      </c>
      <c r="B266" t="s">
        <v>37</v>
      </c>
      <c r="C266" t="s">
        <v>38</v>
      </c>
      <c r="D266" s="206">
        <f t="shared" si="24"/>
        <v>19</v>
      </c>
      <c r="E266" s="215">
        <f>MACRO!A33</f>
        <v>19</v>
      </c>
      <c r="G266" s="72" t="str">
        <f t="shared" si="22"/>
        <v/>
      </c>
      <c r="L266" s="209"/>
      <c r="N266" s="209"/>
    </row>
    <row r="267" spans="1:14" x14ac:dyDescent="0.25">
      <c r="A267" t="str">
        <f>IF(E267&gt;0,"go","null")</f>
        <v>null</v>
      </c>
      <c r="B267" t="s">
        <v>37</v>
      </c>
      <c r="C267" t="s">
        <v>39</v>
      </c>
      <c r="D267" s="206">
        <f t="shared" si="24"/>
        <v>19</v>
      </c>
      <c r="E267" s="37">
        <f>MACRO!$B$33</f>
        <v>0</v>
      </c>
      <c r="G267" s="72" t="str">
        <f t="shared" si="22"/>
        <v/>
      </c>
      <c r="L267" s="209"/>
      <c r="N267" s="209"/>
    </row>
    <row r="268" spans="1:14" x14ac:dyDescent="0.25">
      <c r="A268" t="str">
        <f t="shared" ref="A268:A278" si="27">A267</f>
        <v>null</v>
      </c>
      <c r="B268" t="s">
        <v>37</v>
      </c>
      <c r="C268" t="s">
        <v>40</v>
      </c>
      <c r="D268" s="206">
        <f t="shared" si="24"/>
        <v>19</v>
      </c>
      <c r="E268" t="s">
        <v>54</v>
      </c>
      <c r="F268" s="14"/>
      <c r="G268" s="72" t="str">
        <f t="shared" si="22"/>
        <v/>
      </c>
      <c r="L268" s="209"/>
      <c r="N268" s="209"/>
    </row>
    <row r="269" spans="1:14" x14ac:dyDescent="0.25">
      <c r="A269" t="str">
        <f t="shared" si="27"/>
        <v>null</v>
      </c>
      <c r="B269" t="s">
        <v>37</v>
      </c>
      <c r="C269" t="s">
        <v>41</v>
      </c>
      <c r="D269" s="206">
        <f t="shared" si="24"/>
        <v>19</v>
      </c>
      <c r="E269" s="65">
        <f>MACRO!$C$33</f>
        <v>0</v>
      </c>
      <c r="G269" s="72" t="str">
        <f t="shared" si="22"/>
        <v/>
      </c>
      <c r="L269" s="209"/>
      <c r="N269" s="209"/>
    </row>
    <row r="270" spans="1:14" x14ac:dyDescent="0.25">
      <c r="A270" t="str">
        <f t="shared" si="27"/>
        <v>null</v>
      </c>
      <c r="B270" t="s">
        <v>37</v>
      </c>
      <c r="C270" t="s">
        <v>42</v>
      </c>
      <c r="D270" s="206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9"/>
      <c r="N270" s="209"/>
    </row>
    <row r="271" spans="1:14" x14ac:dyDescent="0.25">
      <c r="A271" t="str">
        <f t="shared" si="27"/>
        <v>null</v>
      </c>
      <c r="B271" t="s">
        <v>37</v>
      </c>
      <c r="C271" t="s">
        <v>43</v>
      </c>
      <c r="D271" s="206">
        <f t="shared" si="24"/>
        <v>19</v>
      </c>
      <c r="E271" s="211">
        <f>MACRO!$F$33</f>
        <v>0</v>
      </c>
      <c r="G271" s="72" t="str">
        <f t="shared" si="22"/>
        <v/>
      </c>
      <c r="L271" s="209"/>
      <c r="N271" s="209"/>
    </row>
    <row r="272" spans="1:14" x14ac:dyDescent="0.25">
      <c r="A272" t="str">
        <f t="shared" si="27"/>
        <v>null</v>
      </c>
      <c r="B272" t="s">
        <v>37</v>
      </c>
      <c r="C272" t="s">
        <v>44</v>
      </c>
      <c r="D272" s="206">
        <f t="shared" si="24"/>
        <v>19</v>
      </c>
      <c r="E272" s="212">
        <f>MACRO!$G$33</f>
        <v>0</v>
      </c>
      <c r="G272" s="72" t="str">
        <f t="shared" si="22"/>
        <v/>
      </c>
      <c r="L272" s="209"/>
      <c r="N272" s="209"/>
    </row>
    <row r="273" spans="1:14" x14ac:dyDescent="0.25">
      <c r="A273" t="str">
        <f t="shared" si="27"/>
        <v>null</v>
      </c>
      <c r="B273" t="s">
        <v>37</v>
      </c>
      <c r="C273" s="16" t="s">
        <v>45</v>
      </c>
      <c r="D273" s="206">
        <f t="shared" si="24"/>
        <v>19</v>
      </c>
      <c r="E273" s="71">
        <f>ROUND(MACRO!$J$33,2)</f>
        <v>0</v>
      </c>
      <c r="G273" s="72" t="str">
        <f t="shared" si="22"/>
        <v/>
      </c>
      <c r="L273" s="209"/>
      <c r="N273" s="209"/>
    </row>
    <row r="274" spans="1:14" x14ac:dyDescent="0.25">
      <c r="A274" t="str">
        <f t="shared" si="27"/>
        <v>null</v>
      </c>
      <c r="B274" t="s">
        <v>37</v>
      </c>
      <c r="C274" t="s">
        <v>46</v>
      </c>
      <c r="D274" s="206">
        <f t="shared" si="24"/>
        <v>19</v>
      </c>
      <c r="E274" s="1">
        <f>IF($E$41=10,1000,9996)</f>
        <v>1000</v>
      </c>
      <c r="F274" s="14"/>
      <c r="G274" s="72" t="str">
        <f t="shared" si="22"/>
        <v/>
      </c>
      <c r="L274" s="209"/>
      <c r="N274" s="209"/>
    </row>
    <row r="275" spans="1:14" x14ac:dyDescent="0.25">
      <c r="A275" t="str">
        <f t="shared" si="27"/>
        <v>null</v>
      </c>
      <c r="B275" t="s">
        <v>37</v>
      </c>
      <c r="C275" t="s">
        <v>47</v>
      </c>
      <c r="D275" s="206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9"/>
      <c r="N275" s="209"/>
    </row>
    <row r="276" spans="1:14" x14ac:dyDescent="0.25">
      <c r="A276" t="str">
        <f t="shared" si="27"/>
        <v>null</v>
      </c>
      <c r="B276" t="s">
        <v>37</v>
      </c>
      <c r="C276" t="s">
        <v>48</v>
      </c>
      <c r="D276" s="206">
        <f t="shared" si="24"/>
        <v>19</v>
      </c>
      <c r="E276" s="210">
        <f>MACRO!I33</f>
        <v>0</v>
      </c>
      <c r="F276" s="14"/>
      <c r="G276" s="72" t="str">
        <f t="shared" si="22"/>
        <v/>
      </c>
      <c r="L276" s="209"/>
      <c r="N276" s="209"/>
    </row>
    <row r="277" spans="1:14" x14ac:dyDescent="0.25">
      <c r="A277" t="str">
        <f t="shared" si="27"/>
        <v>null</v>
      </c>
      <c r="B277" t="s">
        <v>37</v>
      </c>
      <c r="C277" s="16" t="s">
        <v>49</v>
      </c>
      <c r="D277" s="206">
        <f t="shared" si="24"/>
        <v>19</v>
      </c>
      <c r="E277" s="71">
        <f>ROUND(MACRO!$I$33,2)</f>
        <v>0</v>
      </c>
      <c r="G277" s="72" t="str">
        <f t="shared" si="22"/>
        <v/>
      </c>
      <c r="L277" s="209"/>
      <c r="N277" s="209"/>
    </row>
    <row r="278" spans="1:14" x14ac:dyDescent="0.25">
      <c r="A278" t="str">
        <f t="shared" si="27"/>
        <v>null</v>
      </c>
      <c r="B278" t="s">
        <v>37</v>
      </c>
      <c r="C278" t="s">
        <v>110</v>
      </c>
      <c r="D278" s="206">
        <f t="shared" si="24"/>
        <v>19</v>
      </c>
      <c r="E278" s="11">
        <f>MACRO!E33</f>
        <v>0</v>
      </c>
      <c r="G278" s="72" t="str">
        <f t="shared" si="22"/>
        <v/>
      </c>
      <c r="L278" s="209"/>
      <c r="N278" s="209"/>
    </row>
    <row r="279" spans="1:14" x14ac:dyDescent="0.25">
      <c r="A279" t="str">
        <f>A280</f>
        <v>null</v>
      </c>
      <c r="B279" t="s">
        <v>37</v>
      </c>
      <c r="C279" t="s">
        <v>38</v>
      </c>
      <c r="D279" s="206">
        <f t="shared" si="24"/>
        <v>20</v>
      </c>
      <c r="E279" s="215">
        <f>MACRO!A34</f>
        <v>20</v>
      </c>
      <c r="G279" s="72" t="str">
        <f t="shared" si="22"/>
        <v/>
      </c>
      <c r="L279" s="209"/>
      <c r="N279" s="209"/>
    </row>
    <row r="280" spans="1:14" x14ac:dyDescent="0.25">
      <c r="A280" t="str">
        <f>IF(E280&gt;0,"go","null")</f>
        <v>null</v>
      </c>
      <c r="B280" t="s">
        <v>37</v>
      </c>
      <c r="C280" t="s">
        <v>39</v>
      </c>
      <c r="D280" s="206">
        <f t="shared" si="24"/>
        <v>20</v>
      </c>
      <c r="E280" s="37">
        <f>MACRO!$B$34</f>
        <v>0</v>
      </c>
      <c r="G280" s="72" t="str">
        <f t="shared" si="22"/>
        <v/>
      </c>
      <c r="L280" s="209"/>
      <c r="N280" s="209"/>
    </row>
    <row r="281" spans="1:14" x14ac:dyDescent="0.25">
      <c r="A281" t="str">
        <f t="shared" ref="A281:A291" si="28">A280</f>
        <v>null</v>
      </c>
      <c r="B281" t="s">
        <v>37</v>
      </c>
      <c r="C281" t="s">
        <v>40</v>
      </c>
      <c r="D281" s="206">
        <f t="shared" si="24"/>
        <v>20</v>
      </c>
      <c r="E281" t="s">
        <v>54</v>
      </c>
      <c r="F281" s="14"/>
      <c r="G281" s="72" t="str">
        <f t="shared" si="22"/>
        <v/>
      </c>
      <c r="L281" s="209"/>
      <c r="N281" s="209"/>
    </row>
    <row r="282" spans="1:14" x14ac:dyDescent="0.25">
      <c r="A282" t="str">
        <f t="shared" si="28"/>
        <v>null</v>
      </c>
      <c r="B282" t="s">
        <v>37</v>
      </c>
      <c r="C282" t="s">
        <v>41</v>
      </c>
      <c r="D282" s="206">
        <f t="shared" si="24"/>
        <v>20</v>
      </c>
      <c r="E282" s="65">
        <f>MACRO!$C$34</f>
        <v>0</v>
      </c>
      <c r="G282" s="72" t="str">
        <f t="shared" si="22"/>
        <v/>
      </c>
      <c r="L282" s="209"/>
      <c r="N282" s="209"/>
    </row>
    <row r="283" spans="1:14" x14ac:dyDescent="0.25">
      <c r="A283" t="str">
        <f t="shared" si="28"/>
        <v>null</v>
      </c>
      <c r="B283" t="s">
        <v>37</v>
      </c>
      <c r="C283" t="s">
        <v>42</v>
      </c>
      <c r="D283" s="206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9"/>
      <c r="N283" s="209"/>
    </row>
    <row r="284" spans="1:14" x14ac:dyDescent="0.25">
      <c r="A284" t="str">
        <f t="shared" si="28"/>
        <v>null</v>
      </c>
      <c r="B284" t="s">
        <v>37</v>
      </c>
      <c r="C284" t="s">
        <v>43</v>
      </c>
      <c r="D284" s="206">
        <f t="shared" si="24"/>
        <v>20</v>
      </c>
      <c r="E284" s="211">
        <f>MACRO!$F$34</f>
        <v>0</v>
      </c>
      <c r="G284" s="72" t="str">
        <f t="shared" si="22"/>
        <v/>
      </c>
      <c r="L284" s="209"/>
      <c r="N284" s="209"/>
    </row>
    <row r="285" spans="1:14" x14ac:dyDescent="0.25">
      <c r="A285" t="str">
        <f t="shared" si="28"/>
        <v>null</v>
      </c>
      <c r="B285" t="s">
        <v>37</v>
      </c>
      <c r="C285" t="s">
        <v>44</v>
      </c>
      <c r="D285" s="206">
        <f t="shared" si="24"/>
        <v>20</v>
      </c>
      <c r="E285" s="212">
        <f>MACRO!$G$34</f>
        <v>0</v>
      </c>
      <c r="G285" s="72" t="str">
        <f t="shared" si="22"/>
        <v/>
      </c>
      <c r="L285" s="209"/>
      <c r="N285" s="209"/>
    </row>
    <row r="286" spans="1:14" x14ac:dyDescent="0.25">
      <c r="A286" t="str">
        <f t="shared" si="28"/>
        <v>null</v>
      </c>
      <c r="B286" t="s">
        <v>37</v>
      </c>
      <c r="C286" s="16" t="s">
        <v>45</v>
      </c>
      <c r="D286" s="206">
        <f t="shared" si="24"/>
        <v>20</v>
      </c>
      <c r="E286" s="71">
        <f>ROUND(MACRO!$J$34,2)</f>
        <v>0</v>
      </c>
      <c r="G286" s="72" t="str">
        <f t="shared" si="22"/>
        <v/>
      </c>
      <c r="L286" s="209"/>
      <c r="N286" s="209"/>
    </row>
    <row r="287" spans="1:14" x14ac:dyDescent="0.25">
      <c r="A287" t="str">
        <f t="shared" si="28"/>
        <v>null</v>
      </c>
      <c r="B287" t="s">
        <v>37</v>
      </c>
      <c r="C287" t="s">
        <v>46</v>
      </c>
      <c r="D287" s="206">
        <f t="shared" si="24"/>
        <v>20</v>
      </c>
      <c r="E287" s="1">
        <f>IF($E$41=10,1000,9996)</f>
        <v>1000</v>
      </c>
      <c r="F287" s="14"/>
      <c r="G287" s="72" t="str">
        <f t="shared" si="22"/>
        <v/>
      </c>
      <c r="L287" s="209"/>
      <c r="N287" s="209"/>
    </row>
    <row r="288" spans="1:14" x14ac:dyDescent="0.25">
      <c r="A288" t="str">
        <f t="shared" si="28"/>
        <v>null</v>
      </c>
      <c r="B288" t="s">
        <v>37</v>
      </c>
      <c r="C288" t="s">
        <v>47</v>
      </c>
      <c r="D288" s="206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9"/>
      <c r="N288" s="209"/>
    </row>
    <row r="289" spans="1:14" x14ac:dyDescent="0.25">
      <c r="A289" t="str">
        <f t="shared" si="28"/>
        <v>null</v>
      </c>
      <c r="B289" t="s">
        <v>37</v>
      </c>
      <c r="C289" t="s">
        <v>48</v>
      </c>
      <c r="D289" s="206">
        <f t="shared" si="24"/>
        <v>20</v>
      </c>
      <c r="E289" s="210">
        <f>MACRO!I34</f>
        <v>0</v>
      </c>
      <c r="F289" s="14"/>
      <c r="G289" s="72" t="str">
        <f t="shared" si="22"/>
        <v/>
      </c>
      <c r="L289" s="209"/>
      <c r="N289" s="209"/>
    </row>
    <row r="290" spans="1:14" x14ac:dyDescent="0.25">
      <c r="A290" t="str">
        <f t="shared" si="28"/>
        <v>null</v>
      </c>
      <c r="B290" t="s">
        <v>37</v>
      </c>
      <c r="C290" s="16" t="s">
        <v>49</v>
      </c>
      <c r="D290" s="206">
        <f t="shared" si="24"/>
        <v>20</v>
      </c>
      <c r="E290" s="71">
        <f>ROUND(MACRO!$I$34,2)</f>
        <v>0</v>
      </c>
      <c r="G290" s="72" t="str">
        <f t="shared" si="22"/>
        <v/>
      </c>
      <c r="L290" s="209"/>
      <c r="N290" s="209"/>
    </row>
    <row r="291" spans="1:14" x14ac:dyDescent="0.25">
      <c r="A291" t="str">
        <f t="shared" si="28"/>
        <v>null</v>
      </c>
      <c r="B291" t="s">
        <v>37</v>
      </c>
      <c r="C291" t="s">
        <v>110</v>
      </c>
      <c r="D291" s="206">
        <f t="shared" si="24"/>
        <v>20</v>
      </c>
      <c r="E291" s="11">
        <f>MACRO!E34</f>
        <v>0</v>
      </c>
      <c r="G291" s="72" t="str">
        <f t="shared" si="22"/>
        <v/>
      </c>
      <c r="L291" s="209"/>
      <c r="N291" s="209"/>
    </row>
    <row r="292" spans="1:14" x14ac:dyDescent="0.25">
      <c r="A292" t="str">
        <f>A293</f>
        <v>null</v>
      </c>
      <c r="B292" t="s">
        <v>37</v>
      </c>
      <c r="C292" t="s">
        <v>38</v>
      </c>
      <c r="D292" s="206">
        <f t="shared" si="24"/>
        <v>21</v>
      </c>
      <c r="E292" s="215">
        <f>MACRO!A35</f>
        <v>21</v>
      </c>
      <c r="G292" s="72" t="str">
        <f t="shared" ref="G292:G355" si="29">IF($A292="go",CONCATENATE($B292,";",$C292,";",$D292,";",$E292),"")</f>
        <v/>
      </c>
      <c r="L292" s="209"/>
      <c r="N292" s="209"/>
    </row>
    <row r="293" spans="1:14" x14ac:dyDescent="0.25">
      <c r="A293" t="str">
        <f>IF(E293&gt;0,"go","null")</f>
        <v>null</v>
      </c>
      <c r="B293" t="s">
        <v>37</v>
      </c>
      <c r="C293" t="s">
        <v>39</v>
      </c>
      <c r="D293" s="206">
        <f t="shared" si="24"/>
        <v>21</v>
      </c>
      <c r="E293" s="37">
        <f>MACRO!$B$35</f>
        <v>0</v>
      </c>
      <c r="G293" s="72" t="str">
        <f t="shared" si="29"/>
        <v/>
      </c>
      <c r="L293" s="209"/>
      <c r="N293" s="209"/>
    </row>
    <row r="294" spans="1:14" x14ac:dyDescent="0.25">
      <c r="A294" t="str">
        <f t="shared" ref="A294:A304" si="30">A293</f>
        <v>null</v>
      </c>
      <c r="B294" t="s">
        <v>37</v>
      </c>
      <c r="C294" t="s">
        <v>40</v>
      </c>
      <c r="D294" s="206">
        <f t="shared" si="24"/>
        <v>21</v>
      </c>
      <c r="E294" t="s">
        <v>54</v>
      </c>
      <c r="F294" s="14"/>
      <c r="G294" s="72" t="str">
        <f t="shared" si="29"/>
        <v/>
      </c>
      <c r="L294" s="209"/>
      <c r="N294" s="209"/>
    </row>
    <row r="295" spans="1:14" x14ac:dyDescent="0.25">
      <c r="A295" t="str">
        <f t="shared" si="30"/>
        <v>null</v>
      </c>
      <c r="B295" t="s">
        <v>37</v>
      </c>
      <c r="C295" t="s">
        <v>41</v>
      </c>
      <c r="D295" s="206">
        <f t="shared" si="24"/>
        <v>21</v>
      </c>
      <c r="E295" s="65">
        <f>MACRO!$C$35</f>
        <v>0</v>
      </c>
      <c r="G295" s="72" t="str">
        <f t="shared" si="29"/>
        <v/>
      </c>
      <c r="L295" s="209"/>
      <c r="N295" s="209"/>
    </row>
    <row r="296" spans="1:14" x14ac:dyDescent="0.25">
      <c r="A296" t="str">
        <f t="shared" si="30"/>
        <v>null</v>
      </c>
      <c r="B296" t="s">
        <v>37</v>
      </c>
      <c r="C296" t="s">
        <v>42</v>
      </c>
      <c r="D296" s="206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9"/>
      <c r="N296" s="209"/>
    </row>
    <row r="297" spans="1:14" x14ac:dyDescent="0.25">
      <c r="A297" t="str">
        <f t="shared" si="30"/>
        <v>null</v>
      </c>
      <c r="B297" t="s">
        <v>37</v>
      </c>
      <c r="C297" t="s">
        <v>43</v>
      </c>
      <c r="D297" s="206">
        <f t="shared" si="24"/>
        <v>21</v>
      </c>
      <c r="E297" s="211">
        <f>MACRO!$F$35</f>
        <v>0</v>
      </c>
      <c r="G297" s="72" t="str">
        <f t="shared" si="29"/>
        <v/>
      </c>
      <c r="L297" s="209"/>
      <c r="N297" s="209"/>
    </row>
    <row r="298" spans="1:14" x14ac:dyDescent="0.25">
      <c r="A298" t="str">
        <f t="shared" si="30"/>
        <v>null</v>
      </c>
      <c r="B298" t="s">
        <v>37</v>
      </c>
      <c r="C298" t="s">
        <v>44</v>
      </c>
      <c r="D298" s="206">
        <f t="shared" si="24"/>
        <v>21</v>
      </c>
      <c r="E298" s="212">
        <f>MACRO!$G$35</f>
        <v>0</v>
      </c>
      <c r="G298" s="72" t="str">
        <f t="shared" si="29"/>
        <v/>
      </c>
      <c r="L298" s="209"/>
      <c r="N298" s="209"/>
    </row>
    <row r="299" spans="1:14" x14ac:dyDescent="0.25">
      <c r="A299" t="str">
        <f t="shared" si="30"/>
        <v>null</v>
      </c>
      <c r="B299" t="s">
        <v>37</v>
      </c>
      <c r="C299" s="16" t="s">
        <v>45</v>
      </c>
      <c r="D299" s="206">
        <f t="shared" si="24"/>
        <v>21</v>
      </c>
      <c r="E299" s="71">
        <f>ROUND(MACRO!$J$35,2)</f>
        <v>0</v>
      </c>
      <c r="G299" s="72" t="str">
        <f t="shared" si="29"/>
        <v/>
      </c>
      <c r="L299" s="209"/>
      <c r="N299" s="209"/>
    </row>
    <row r="300" spans="1:14" x14ac:dyDescent="0.25">
      <c r="A300" t="str">
        <f t="shared" si="30"/>
        <v>null</v>
      </c>
      <c r="B300" t="s">
        <v>37</v>
      </c>
      <c r="C300" t="s">
        <v>46</v>
      </c>
      <c r="D300" s="206">
        <f t="shared" si="24"/>
        <v>21</v>
      </c>
      <c r="E300" s="1">
        <f>IF($E$41=10,1000,9996)</f>
        <v>1000</v>
      </c>
      <c r="F300" s="14"/>
      <c r="G300" s="72" t="str">
        <f t="shared" si="29"/>
        <v/>
      </c>
      <c r="L300" s="209"/>
      <c r="N300" s="209"/>
    </row>
    <row r="301" spans="1:14" x14ac:dyDescent="0.25">
      <c r="A301" t="str">
        <f t="shared" si="30"/>
        <v>null</v>
      </c>
      <c r="B301" t="s">
        <v>37</v>
      </c>
      <c r="C301" t="s">
        <v>47</v>
      </c>
      <c r="D301" s="206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9"/>
      <c r="N301" s="209"/>
    </row>
    <row r="302" spans="1:14" x14ac:dyDescent="0.25">
      <c r="A302" t="str">
        <f t="shared" si="30"/>
        <v>null</v>
      </c>
      <c r="B302" t="s">
        <v>37</v>
      </c>
      <c r="C302" t="s">
        <v>48</v>
      </c>
      <c r="D302" s="206">
        <f t="shared" ref="D302:D365" si="31">IF(C302="NroLinDet",D301+1,D301)</f>
        <v>21</v>
      </c>
      <c r="E302" s="210">
        <f>MACRO!I35</f>
        <v>0</v>
      </c>
      <c r="F302" s="14"/>
      <c r="G302" s="72" t="str">
        <f t="shared" si="29"/>
        <v/>
      </c>
      <c r="L302" s="209"/>
      <c r="N302" s="209"/>
    </row>
    <row r="303" spans="1:14" x14ac:dyDescent="0.25">
      <c r="A303" t="str">
        <f t="shared" si="30"/>
        <v>null</v>
      </c>
      <c r="B303" t="s">
        <v>37</v>
      </c>
      <c r="C303" s="16" t="s">
        <v>49</v>
      </c>
      <c r="D303" s="206">
        <f t="shared" si="31"/>
        <v>21</v>
      </c>
      <c r="E303" s="71">
        <f>ROUND(MACRO!$I$35,2)</f>
        <v>0</v>
      </c>
      <c r="G303" s="72" t="str">
        <f t="shared" si="29"/>
        <v/>
      </c>
      <c r="L303" s="209"/>
      <c r="N303" s="209"/>
    </row>
    <row r="304" spans="1:14" x14ac:dyDescent="0.25">
      <c r="A304" t="str">
        <f t="shared" si="30"/>
        <v>null</v>
      </c>
      <c r="B304" t="s">
        <v>37</v>
      </c>
      <c r="C304" t="s">
        <v>110</v>
      </c>
      <c r="D304" s="206">
        <f t="shared" si="31"/>
        <v>21</v>
      </c>
      <c r="E304" s="11">
        <f>MACRO!E35</f>
        <v>0</v>
      </c>
      <c r="G304" s="72" t="str">
        <f t="shared" si="29"/>
        <v/>
      </c>
      <c r="L304" s="209"/>
      <c r="N304" s="209"/>
    </row>
    <row r="305" spans="1:14" x14ac:dyDescent="0.25">
      <c r="A305" t="str">
        <f>A306</f>
        <v>null</v>
      </c>
      <c r="B305" t="s">
        <v>37</v>
      </c>
      <c r="C305" t="s">
        <v>38</v>
      </c>
      <c r="D305" s="206">
        <f t="shared" si="31"/>
        <v>22</v>
      </c>
      <c r="E305" s="215">
        <f>MACRO!A36</f>
        <v>22</v>
      </c>
      <c r="G305" s="72" t="str">
        <f t="shared" si="29"/>
        <v/>
      </c>
      <c r="L305" s="209"/>
      <c r="N305" s="209"/>
    </row>
    <row r="306" spans="1:14" x14ac:dyDescent="0.25">
      <c r="A306" t="str">
        <f>IF(E306&gt;0,"go","null")</f>
        <v>null</v>
      </c>
      <c r="B306" t="s">
        <v>37</v>
      </c>
      <c r="C306" t="s">
        <v>39</v>
      </c>
      <c r="D306" s="206">
        <f t="shared" si="31"/>
        <v>22</v>
      </c>
      <c r="E306" s="37">
        <f>MACRO!$B$36</f>
        <v>0</v>
      </c>
      <c r="G306" s="72" t="str">
        <f t="shared" si="29"/>
        <v/>
      </c>
      <c r="L306" s="209"/>
      <c r="N306" s="209"/>
    </row>
    <row r="307" spans="1:14" x14ac:dyDescent="0.25">
      <c r="A307" t="str">
        <f t="shared" ref="A307:A317" si="32">A306</f>
        <v>null</v>
      </c>
      <c r="B307" t="s">
        <v>37</v>
      </c>
      <c r="C307" t="s">
        <v>40</v>
      </c>
      <c r="D307" s="206">
        <f t="shared" si="31"/>
        <v>22</v>
      </c>
      <c r="E307" t="s">
        <v>54</v>
      </c>
      <c r="F307" s="14"/>
      <c r="G307" s="72" t="str">
        <f t="shared" si="29"/>
        <v/>
      </c>
      <c r="L307" s="209"/>
      <c r="N307" s="209"/>
    </row>
    <row r="308" spans="1:14" x14ac:dyDescent="0.25">
      <c r="A308" t="str">
        <f t="shared" si="32"/>
        <v>null</v>
      </c>
      <c r="B308" t="s">
        <v>37</v>
      </c>
      <c r="C308" t="s">
        <v>41</v>
      </c>
      <c r="D308" s="206">
        <f t="shared" si="31"/>
        <v>22</v>
      </c>
      <c r="E308" s="65">
        <f>MACRO!$C$36</f>
        <v>0</v>
      </c>
      <c r="G308" s="72" t="str">
        <f t="shared" si="29"/>
        <v/>
      </c>
      <c r="L308" s="209"/>
      <c r="N308" s="209"/>
    </row>
    <row r="309" spans="1:14" x14ac:dyDescent="0.25">
      <c r="A309" t="str">
        <f t="shared" si="32"/>
        <v>null</v>
      </c>
      <c r="B309" t="s">
        <v>37</v>
      </c>
      <c r="C309" t="s">
        <v>42</v>
      </c>
      <c r="D309" s="206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9"/>
      <c r="N309" s="209"/>
    </row>
    <row r="310" spans="1:14" x14ac:dyDescent="0.25">
      <c r="A310" t="str">
        <f t="shared" si="32"/>
        <v>null</v>
      </c>
      <c r="B310" t="s">
        <v>37</v>
      </c>
      <c r="C310" t="s">
        <v>43</v>
      </c>
      <c r="D310" s="206">
        <f t="shared" si="31"/>
        <v>22</v>
      </c>
      <c r="E310" s="211">
        <f>MACRO!$F$36</f>
        <v>0</v>
      </c>
      <c r="G310" s="72" t="str">
        <f t="shared" si="29"/>
        <v/>
      </c>
      <c r="L310" s="209"/>
      <c r="N310" s="209"/>
    </row>
    <row r="311" spans="1:14" x14ac:dyDescent="0.25">
      <c r="A311" t="str">
        <f t="shared" si="32"/>
        <v>null</v>
      </c>
      <c r="B311" t="s">
        <v>37</v>
      </c>
      <c r="C311" t="s">
        <v>44</v>
      </c>
      <c r="D311" s="206">
        <f t="shared" si="31"/>
        <v>22</v>
      </c>
      <c r="E311" s="212">
        <f>MACRO!$G$36</f>
        <v>0</v>
      </c>
      <c r="G311" s="72" t="str">
        <f t="shared" si="29"/>
        <v/>
      </c>
      <c r="L311" s="209"/>
      <c r="N311" s="209"/>
    </row>
    <row r="312" spans="1:14" x14ac:dyDescent="0.25">
      <c r="A312" t="str">
        <f t="shared" si="32"/>
        <v>null</v>
      </c>
      <c r="B312" t="s">
        <v>37</v>
      </c>
      <c r="C312" s="16" t="s">
        <v>45</v>
      </c>
      <c r="D312" s="206">
        <f t="shared" si="31"/>
        <v>22</v>
      </c>
      <c r="E312" s="71">
        <f>ROUND(MACRO!$J$36,2)</f>
        <v>0</v>
      </c>
      <c r="G312" s="72" t="str">
        <f t="shared" si="29"/>
        <v/>
      </c>
      <c r="L312" s="209"/>
      <c r="N312" s="209"/>
    </row>
    <row r="313" spans="1:14" x14ac:dyDescent="0.25">
      <c r="A313" t="str">
        <f t="shared" si="32"/>
        <v>null</v>
      </c>
      <c r="B313" t="s">
        <v>37</v>
      </c>
      <c r="C313" t="s">
        <v>46</v>
      </c>
      <c r="D313" s="206">
        <f t="shared" si="31"/>
        <v>22</v>
      </c>
      <c r="E313" s="1">
        <f>IF($E$41=10,1000,9996)</f>
        <v>1000</v>
      </c>
      <c r="F313" s="14"/>
      <c r="G313" s="72" t="str">
        <f t="shared" si="29"/>
        <v/>
      </c>
      <c r="L313" s="209"/>
      <c r="N313" s="209"/>
    </row>
    <row r="314" spans="1:14" x14ac:dyDescent="0.25">
      <c r="A314" t="str">
        <f t="shared" si="32"/>
        <v>null</v>
      </c>
      <c r="B314" t="s">
        <v>37</v>
      </c>
      <c r="C314" t="s">
        <v>47</v>
      </c>
      <c r="D314" s="206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9"/>
      <c r="N314" s="209"/>
    </row>
    <row r="315" spans="1:14" x14ac:dyDescent="0.25">
      <c r="A315" t="str">
        <f t="shared" si="32"/>
        <v>null</v>
      </c>
      <c r="B315" t="s">
        <v>37</v>
      </c>
      <c r="C315" t="s">
        <v>48</v>
      </c>
      <c r="D315" s="206">
        <f t="shared" si="31"/>
        <v>22</v>
      </c>
      <c r="E315" s="210">
        <f>MACRO!I36</f>
        <v>0</v>
      </c>
      <c r="F315" s="14"/>
      <c r="G315" s="72" t="str">
        <f t="shared" si="29"/>
        <v/>
      </c>
      <c r="L315" s="209"/>
      <c r="N315" s="209"/>
    </row>
    <row r="316" spans="1:14" x14ac:dyDescent="0.25">
      <c r="A316" t="str">
        <f t="shared" si="32"/>
        <v>null</v>
      </c>
      <c r="B316" t="s">
        <v>37</v>
      </c>
      <c r="C316" s="16" t="s">
        <v>49</v>
      </c>
      <c r="D316" s="206">
        <f t="shared" si="31"/>
        <v>22</v>
      </c>
      <c r="E316" s="71">
        <f>ROUND(MACRO!$I$36,2)</f>
        <v>0</v>
      </c>
      <c r="G316" s="72" t="str">
        <f t="shared" si="29"/>
        <v/>
      </c>
      <c r="L316" s="209"/>
      <c r="N316" s="209"/>
    </row>
    <row r="317" spans="1:14" x14ac:dyDescent="0.25">
      <c r="A317" t="str">
        <f t="shared" si="32"/>
        <v>null</v>
      </c>
      <c r="B317" t="s">
        <v>37</v>
      </c>
      <c r="C317" t="s">
        <v>110</v>
      </c>
      <c r="D317" s="206">
        <f t="shared" si="31"/>
        <v>22</v>
      </c>
      <c r="E317" s="11">
        <f>MACRO!E36</f>
        <v>0</v>
      </c>
      <c r="G317" s="72" t="str">
        <f t="shared" si="29"/>
        <v/>
      </c>
      <c r="L317" s="209"/>
      <c r="N317" s="209"/>
    </row>
    <row r="318" spans="1:14" x14ac:dyDescent="0.25">
      <c r="A318" t="str">
        <f>A319</f>
        <v>null</v>
      </c>
      <c r="B318" t="s">
        <v>37</v>
      </c>
      <c r="C318" t="s">
        <v>38</v>
      </c>
      <c r="D318" s="206">
        <f t="shared" si="31"/>
        <v>23</v>
      </c>
      <c r="E318" s="215">
        <f>MACRO!A37</f>
        <v>23</v>
      </c>
      <c r="G318" s="72" t="str">
        <f t="shared" si="29"/>
        <v/>
      </c>
      <c r="L318" s="209"/>
      <c r="N318" s="209"/>
    </row>
    <row r="319" spans="1:14" x14ac:dyDescent="0.25">
      <c r="A319" t="str">
        <f>IF(E319&gt;0,"go","null")</f>
        <v>null</v>
      </c>
      <c r="B319" t="s">
        <v>37</v>
      </c>
      <c r="C319" t="s">
        <v>39</v>
      </c>
      <c r="D319" s="206">
        <f t="shared" si="31"/>
        <v>23</v>
      </c>
      <c r="E319" s="37">
        <f>MACRO!$B$37</f>
        <v>0</v>
      </c>
      <c r="G319" s="72" t="str">
        <f t="shared" si="29"/>
        <v/>
      </c>
      <c r="L319" s="209"/>
      <c r="N319" s="209"/>
    </row>
    <row r="320" spans="1:14" x14ac:dyDescent="0.25">
      <c r="A320" t="str">
        <f t="shared" ref="A320:A330" si="33">A319</f>
        <v>null</v>
      </c>
      <c r="B320" t="s">
        <v>37</v>
      </c>
      <c r="C320" t="s">
        <v>40</v>
      </c>
      <c r="D320" s="206">
        <f t="shared" si="31"/>
        <v>23</v>
      </c>
      <c r="E320" t="s">
        <v>54</v>
      </c>
      <c r="F320" s="14"/>
      <c r="G320" s="72" t="str">
        <f t="shared" si="29"/>
        <v/>
      </c>
      <c r="L320" s="209"/>
      <c r="N320" s="209"/>
    </row>
    <row r="321" spans="1:14" x14ac:dyDescent="0.25">
      <c r="A321" t="str">
        <f t="shared" si="33"/>
        <v>null</v>
      </c>
      <c r="B321" t="s">
        <v>37</v>
      </c>
      <c r="C321" t="s">
        <v>41</v>
      </c>
      <c r="D321" s="206">
        <f t="shared" si="31"/>
        <v>23</v>
      </c>
      <c r="E321" s="65">
        <f>MACRO!$C$37</f>
        <v>0</v>
      </c>
      <c r="G321" s="72" t="str">
        <f t="shared" si="29"/>
        <v/>
      </c>
      <c r="L321" s="209"/>
      <c r="N321" s="209"/>
    </row>
    <row r="322" spans="1:14" x14ac:dyDescent="0.25">
      <c r="A322" t="str">
        <f t="shared" si="33"/>
        <v>null</v>
      </c>
      <c r="B322" t="s">
        <v>37</v>
      </c>
      <c r="C322" t="s">
        <v>42</v>
      </c>
      <c r="D322" s="206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9"/>
      <c r="N322" s="209"/>
    </row>
    <row r="323" spans="1:14" x14ac:dyDescent="0.25">
      <c r="A323" t="str">
        <f t="shared" si="33"/>
        <v>null</v>
      </c>
      <c r="B323" t="s">
        <v>37</v>
      </c>
      <c r="C323" t="s">
        <v>43</v>
      </c>
      <c r="D323" s="206">
        <f t="shared" si="31"/>
        <v>23</v>
      </c>
      <c r="E323" s="211">
        <f>MACRO!$F$37</f>
        <v>0</v>
      </c>
      <c r="G323" s="72" t="str">
        <f t="shared" si="29"/>
        <v/>
      </c>
      <c r="L323" s="209"/>
      <c r="N323" s="209"/>
    </row>
    <row r="324" spans="1:14" x14ac:dyDescent="0.25">
      <c r="A324" t="str">
        <f t="shared" si="33"/>
        <v>null</v>
      </c>
      <c r="B324" t="s">
        <v>37</v>
      </c>
      <c r="C324" t="s">
        <v>44</v>
      </c>
      <c r="D324" s="206">
        <f t="shared" si="31"/>
        <v>23</v>
      </c>
      <c r="E324" s="212">
        <f>MACRO!$G$37</f>
        <v>0</v>
      </c>
      <c r="G324" s="72" t="str">
        <f t="shared" si="29"/>
        <v/>
      </c>
      <c r="L324" s="209"/>
      <c r="N324" s="209"/>
    </row>
    <row r="325" spans="1:14" x14ac:dyDescent="0.25">
      <c r="A325" t="str">
        <f t="shared" si="33"/>
        <v>null</v>
      </c>
      <c r="B325" t="s">
        <v>37</v>
      </c>
      <c r="C325" s="16" t="s">
        <v>45</v>
      </c>
      <c r="D325" s="206">
        <f t="shared" si="31"/>
        <v>23</v>
      </c>
      <c r="E325" s="71">
        <f>ROUND(MACRO!$J$37,2)</f>
        <v>0</v>
      </c>
      <c r="G325" s="72" t="str">
        <f t="shared" si="29"/>
        <v/>
      </c>
      <c r="L325" s="209"/>
      <c r="N325" s="209"/>
    </row>
    <row r="326" spans="1:14" x14ac:dyDescent="0.25">
      <c r="A326" t="str">
        <f t="shared" si="33"/>
        <v>null</v>
      </c>
      <c r="B326" t="s">
        <v>37</v>
      </c>
      <c r="C326" t="s">
        <v>46</v>
      </c>
      <c r="D326" s="206">
        <f t="shared" si="31"/>
        <v>23</v>
      </c>
      <c r="E326" s="1">
        <f>IF($E$41=10,1000,9996)</f>
        <v>1000</v>
      </c>
      <c r="F326" s="14"/>
      <c r="G326" s="72" t="str">
        <f t="shared" si="29"/>
        <v/>
      </c>
      <c r="L326" s="209"/>
      <c r="N326" s="209"/>
    </row>
    <row r="327" spans="1:14" x14ac:dyDescent="0.25">
      <c r="A327" t="str">
        <f t="shared" si="33"/>
        <v>null</v>
      </c>
      <c r="B327" t="s">
        <v>37</v>
      </c>
      <c r="C327" t="s">
        <v>47</v>
      </c>
      <c r="D327" s="206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9"/>
      <c r="N327" s="209"/>
    </row>
    <row r="328" spans="1:14" x14ac:dyDescent="0.25">
      <c r="A328" t="str">
        <f t="shared" si="33"/>
        <v>null</v>
      </c>
      <c r="B328" t="s">
        <v>37</v>
      </c>
      <c r="C328" t="s">
        <v>48</v>
      </c>
      <c r="D328" s="206">
        <f t="shared" si="31"/>
        <v>23</v>
      </c>
      <c r="E328" s="210">
        <f>MACRO!I37</f>
        <v>0</v>
      </c>
      <c r="F328" s="14"/>
      <c r="G328" s="72" t="str">
        <f t="shared" si="29"/>
        <v/>
      </c>
      <c r="L328" s="209"/>
      <c r="N328" s="209"/>
    </row>
    <row r="329" spans="1:14" x14ac:dyDescent="0.25">
      <c r="A329" t="str">
        <f t="shared" si="33"/>
        <v>null</v>
      </c>
      <c r="B329" t="s">
        <v>37</v>
      </c>
      <c r="C329" s="16" t="s">
        <v>49</v>
      </c>
      <c r="D329" s="206">
        <f t="shared" si="31"/>
        <v>23</v>
      </c>
      <c r="E329" s="71">
        <f>ROUND(MACRO!$I$37,2)</f>
        <v>0</v>
      </c>
      <c r="G329" s="72" t="str">
        <f t="shared" si="29"/>
        <v/>
      </c>
      <c r="L329" s="209"/>
      <c r="N329" s="209"/>
    </row>
    <row r="330" spans="1:14" x14ac:dyDescent="0.25">
      <c r="A330" t="str">
        <f t="shared" si="33"/>
        <v>null</v>
      </c>
      <c r="B330" t="s">
        <v>37</v>
      </c>
      <c r="C330" t="s">
        <v>110</v>
      </c>
      <c r="D330" s="206">
        <f t="shared" si="31"/>
        <v>23</v>
      </c>
      <c r="E330" s="11">
        <f>MACRO!E37</f>
        <v>0</v>
      </c>
      <c r="G330" s="72" t="str">
        <f t="shared" si="29"/>
        <v/>
      </c>
      <c r="L330" s="209"/>
      <c r="N330" s="209"/>
    </row>
    <row r="331" spans="1:14" x14ac:dyDescent="0.25">
      <c r="A331" t="str">
        <f>A332</f>
        <v>null</v>
      </c>
      <c r="B331" t="s">
        <v>37</v>
      </c>
      <c r="C331" t="s">
        <v>38</v>
      </c>
      <c r="D331" s="206">
        <f t="shared" si="31"/>
        <v>24</v>
      </c>
      <c r="E331" s="215">
        <f>MACRO!A38</f>
        <v>24</v>
      </c>
      <c r="G331" s="72" t="str">
        <f t="shared" si="29"/>
        <v/>
      </c>
      <c r="L331" s="209"/>
      <c r="N331" s="209"/>
    </row>
    <row r="332" spans="1:14" x14ac:dyDescent="0.25">
      <c r="A332" t="str">
        <f>IF(E332&gt;0,"go","null")</f>
        <v>null</v>
      </c>
      <c r="B332" t="s">
        <v>37</v>
      </c>
      <c r="C332" t="s">
        <v>39</v>
      </c>
      <c r="D332" s="206">
        <f t="shared" si="31"/>
        <v>24</v>
      </c>
      <c r="E332" s="37">
        <f>MACRO!$B$38</f>
        <v>0</v>
      </c>
      <c r="G332" s="72" t="str">
        <f t="shared" si="29"/>
        <v/>
      </c>
      <c r="L332" s="209"/>
      <c r="N332" s="209"/>
    </row>
    <row r="333" spans="1:14" x14ac:dyDescent="0.25">
      <c r="A333" t="str">
        <f t="shared" ref="A333:A343" si="34">A332</f>
        <v>null</v>
      </c>
      <c r="B333" t="s">
        <v>37</v>
      </c>
      <c r="C333" t="s">
        <v>40</v>
      </c>
      <c r="D333" s="206">
        <f t="shared" si="31"/>
        <v>24</v>
      </c>
      <c r="E333" t="s">
        <v>54</v>
      </c>
      <c r="F333" s="14"/>
      <c r="G333" s="72" t="str">
        <f t="shared" si="29"/>
        <v/>
      </c>
      <c r="L333" s="209"/>
      <c r="N333" s="209"/>
    </row>
    <row r="334" spans="1:14" x14ac:dyDescent="0.25">
      <c r="A334" t="str">
        <f t="shared" si="34"/>
        <v>null</v>
      </c>
      <c r="B334" t="s">
        <v>37</v>
      </c>
      <c r="C334" t="s">
        <v>41</v>
      </c>
      <c r="D334" s="206">
        <f t="shared" si="31"/>
        <v>24</v>
      </c>
      <c r="E334" s="65">
        <f>MACRO!$C$38</f>
        <v>0</v>
      </c>
      <c r="G334" s="72" t="str">
        <f t="shared" si="29"/>
        <v/>
      </c>
      <c r="L334" s="209"/>
      <c r="N334" s="209"/>
    </row>
    <row r="335" spans="1:14" x14ac:dyDescent="0.25">
      <c r="A335" t="str">
        <f t="shared" si="34"/>
        <v>null</v>
      </c>
      <c r="B335" t="s">
        <v>37</v>
      </c>
      <c r="C335" t="s">
        <v>42</v>
      </c>
      <c r="D335" s="206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9"/>
      <c r="N335" s="209"/>
    </row>
    <row r="336" spans="1:14" x14ac:dyDescent="0.25">
      <c r="A336" t="str">
        <f t="shared" si="34"/>
        <v>null</v>
      </c>
      <c r="B336" t="s">
        <v>37</v>
      </c>
      <c r="C336" t="s">
        <v>43</v>
      </c>
      <c r="D336" s="206">
        <f t="shared" si="31"/>
        <v>24</v>
      </c>
      <c r="E336" s="211">
        <f>MACRO!$F$38</f>
        <v>0</v>
      </c>
      <c r="G336" s="72" t="str">
        <f t="shared" si="29"/>
        <v/>
      </c>
      <c r="L336" s="209"/>
      <c r="N336" s="209"/>
    </row>
    <row r="337" spans="1:14" x14ac:dyDescent="0.25">
      <c r="A337" t="str">
        <f t="shared" si="34"/>
        <v>null</v>
      </c>
      <c r="B337" t="s">
        <v>37</v>
      </c>
      <c r="C337" t="s">
        <v>44</v>
      </c>
      <c r="D337" s="206">
        <f t="shared" si="31"/>
        <v>24</v>
      </c>
      <c r="E337" s="212">
        <f>MACRO!$G$38</f>
        <v>0</v>
      </c>
      <c r="G337" s="72" t="str">
        <f t="shared" si="29"/>
        <v/>
      </c>
      <c r="L337" s="209"/>
      <c r="N337" s="209"/>
    </row>
    <row r="338" spans="1:14" x14ac:dyDescent="0.25">
      <c r="A338" t="str">
        <f t="shared" si="34"/>
        <v>null</v>
      </c>
      <c r="B338" t="s">
        <v>37</v>
      </c>
      <c r="C338" s="16" t="s">
        <v>45</v>
      </c>
      <c r="D338" s="206">
        <f t="shared" si="31"/>
        <v>24</v>
      </c>
      <c r="E338" s="71">
        <f>ROUND(MACRO!$J$38,2)</f>
        <v>0</v>
      </c>
      <c r="G338" s="72" t="str">
        <f t="shared" si="29"/>
        <v/>
      </c>
      <c r="L338" s="209"/>
      <c r="N338" s="209"/>
    </row>
    <row r="339" spans="1:14" x14ac:dyDescent="0.25">
      <c r="A339" t="str">
        <f t="shared" si="34"/>
        <v>null</v>
      </c>
      <c r="B339" t="s">
        <v>37</v>
      </c>
      <c r="C339" t="s">
        <v>46</v>
      </c>
      <c r="D339" s="206">
        <f t="shared" si="31"/>
        <v>24</v>
      </c>
      <c r="E339" s="1">
        <f>IF($E$41=10,1000,9996)</f>
        <v>1000</v>
      </c>
      <c r="F339" s="14"/>
      <c r="G339" s="72" t="str">
        <f t="shared" si="29"/>
        <v/>
      </c>
      <c r="L339" s="209"/>
      <c r="N339" s="209"/>
    </row>
    <row r="340" spans="1:14" x14ac:dyDescent="0.25">
      <c r="A340" t="str">
        <f t="shared" si="34"/>
        <v>null</v>
      </c>
      <c r="B340" t="s">
        <v>37</v>
      </c>
      <c r="C340" t="s">
        <v>47</v>
      </c>
      <c r="D340" s="206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9"/>
      <c r="N340" s="209"/>
    </row>
    <row r="341" spans="1:14" x14ac:dyDescent="0.25">
      <c r="A341" t="str">
        <f t="shared" si="34"/>
        <v>null</v>
      </c>
      <c r="B341" t="s">
        <v>37</v>
      </c>
      <c r="C341" t="s">
        <v>48</v>
      </c>
      <c r="D341" s="206">
        <f t="shared" si="31"/>
        <v>24</v>
      </c>
      <c r="E341" s="210">
        <f>MACRO!I38</f>
        <v>0</v>
      </c>
      <c r="F341" s="14"/>
      <c r="G341" s="72" t="str">
        <f t="shared" si="29"/>
        <v/>
      </c>
      <c r="L341" s="209"/>
      <c r="N341" s="209"/>
    </row>
    <row r="342" spans="1:14" x14ac:dyDescent="0.25">
      <c r="A342" t="str">
        <f t="shared" si="34"/>
        <v>null</v>
      </c>
      <c r="B342" t="s">
        <v>37</v>
      </c>
      <c r="C342" s="16" t="s">
        <v>49</v>
      </c>
      <c r="D342" s="206">
        <f t="shared" si="31"/>
        <v>24</v>
      </c>
      <c r="E342" s="71">
        <f>ROUND(MACRO!$I$38,2)</f>
        <v>0</v>
      </c>
      <c r="G342" s="72" t="str">
        <f t="shared" si="29"/>
        <v/>
      </c>
      <c r="L342" s="209"/>
      <c r="N342" s="209"/>
    </row>
    <row r="343" spans="1:14" x14ac:dyDescent="0.25">
      <c r="A343" t="str">
        <f t="shared" si="34"/>
        <v>null</v>
      </c>
      <c r="B343" t="s">
        <v>37</v>
      </c>
      <c r="C343" t="s">
        <v>110</v>
      </c>
      <c r="D343" s="206">
        <f t="shared" si="31"/>
        <v>24</v>
      </c>
      <c r="E343" s="11">
        <f>MACRO!E38</f>
        <v>0</v>
      </c>
      <c r="G343" s="72" t="str">
        <f t="shared" si="29"/>
        <v/>
      </c>
      <c r="L343" s="209"/>
      <c r="N343" s="209"/>
    </row>
    <row r="344" spans="1:14" x14ac:dyDescent="0.25">
      <c r="A344" t="str">
        <f>A345</f>
        <v>null</v>
      </c>
      <c r="B344" t="s">
        <v>37</v>
      </c>
      <c r="C344" t="s">
        <v>38</v>
      </c>
      <c r="D344" s="206">
        <f t="shared" si="31"/>
        <v>25</v>
      </c>
      <c r="E344" s="215">
        <f>MACRO!A39</f>
        <v>25</v>
      </c>
      <c r="G344" s="72" t="str">
        <f t="shared" si="29"/>
        <v/>
      </c>
      <c r="L344" s="209"/>
      <c r="N344" s="209"/>
    </row>
    <row r="345" spans="1:14" x14ac:dyDescent="0.25">
      <c r="A345" t="str">
        <f>IF(E345&gt;0,"go","null")</f>
        <v>null</v>
      </c>
      <c r="B345" t="s">
        <v>37</v>
      </c>
      <c r="C345" t="s">
        <v>39</v>
      </c>
      <c r="D345" s="206">
        <f t="shared" si="31"/>
        <v>25</v>
      </c>
      <c r="E345" s="37">
        <f>MACRO!$B$39</f>
        <v>0</v>
      </c>
      <c r="G345" s="72" t="str">
        <f t="shared" si="29"/>
        <v/>
      </c>
      <c r="L345" s="209"/>
      <c r="N345" s="209"/>
    </row>
    <row r="346" spans="1:14" x14ac:dyDescent="0.25">
      <c r="A346" t="str">
        <f t="shared" ref="A346:A356" si="35">A345</f>
        <v>null</v>
      </c>
      <c r="B346" t="s">
        <v>37</v>
      </c>
      <c r="C346" t="s">
        <v>40</v>
      </c>
      <c r="D346" s="206">
        <f t="shared" si="31"/>
        <v>25</v>
      </c>
      <c r="E346" t="s">
        <v>54</v>
      </c>
      <c r="F346" s="14"/>
      <c r="G346" s="72" t="str">
        <f t="shared" si="29"/>
        <v/>
      </c>
      <c r="L346" s="209"/>
      <c r="N346" s="209"/>
    </row>
    <row r="347" spans="1:14" x14ac:dyDescent="0.25">
      <c r="A347" t="str">
        <f t="shared" si="35"/>
        <v>null</v>
      </c>
      <c r="B347" t="s">
        <v>37</v>
      </c>
      <c r="C347" t="s">
        <v>41</v>
      </c>
      <c r="D347" s="206">
        <f t="shared" si="31"/>
        <v>25</v>
      </c>
      <c r="E347" s="65">
        <f>MACRO!$C$39</f>
        <v>0</v>
      </c>
      <c r="G347" s="72" t="str">
        <f t="shared" si="29"/>
        <v/>
      </c>
      <c r="L347" s="209"/>
      <c r="N347" s="209"/>
    </row>
    <row r="348" spans="1:14" x14ac:dyDescent="0.25">
      <c r="A348" t="str">
        <f t="shared" si="35"/>
        <v>null</v>
      </c>
      <c r="B348" t="s">
        <v>37</v>
      </c>
      <c r="C348" t="s">
        <v>42</v>
      </c>
      <c r="D348" s="206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9"/>
      <c r="N348" s="209"/>
    </row>
    <row r="349" spans="1:14" x14ac:dyDescent="0.25">
      <c r="A349" t="str">
        <f t="shared" si="35"/>
        <v>null</v>
      </c>
      <c r="B349" t="s">
        <v>37</v>
      </c>
      <c r="C349" t="s">
        <v>43</v>
      </c>
      <c r="D349" s="206">
        <f t="shared" si="31"/>
        <v>25</v>
      </c>
      <c r="E349" s="211">
        <f>MACRO!$F$39</f>
        <v>0</v>
      </c>
      <c r="G349" s="72" t="str">
        <f t="shared" si="29"/>
        <v/>
      </c>
      <c r="L349" s="209"/>
      <c r="N349" s="209"/>
    </row>
    <row r="350" spans="1:14" x14ac:dyDescent="0.25">
      <c r="A350" t="str">
        <f t="shared" si="35"/>
        <v>null</v>
      </c>
      <c r="B350" t="s">
        <v>37</v>
      </c>
      <c r="C350" t="s">
        <v>44</v>
      </c>
      <c r="D350" s="206">
        <f t="shared" si="31"/>
        <v>25</v>
      </c>
      <c r="E350" s="212">
        <f>MACRO!$G$39</f>
        <v>0</v>
      </c>
      <c r="G350" s="72" t="str">
        <f t="shared" si="29"/>
        <v/>
      </c>
      <c r="L350" s="209"/>
      <c r="N350" s="209"/>
    </row>
    <row r="351" spans="1:14" x14ac:dyDescent="0.25">
      <c r="A351" t="str">
        <f t="shared" si="35"/>
        <v>null</v>
      </c>
      <c r="B351" t="s">
        <v>37</v>
      </c>
      <c r="C351" s="16" t="s">
        <v>45</v>
      </c>
      <c r="D351" s="206">
        <f t="shared" si="31"/>
        <v>25</v>
      </c>
      <c r="E351" s="71">
        <f>ROUND(MACRO!$J$39,2)</f>
        <v>0</v>
      </c>
      <c r="G351" s="72" t="str">
        <f t="shared" si="29"/>
        <v/>
      </c>
      <c r="L351" s="209"/>
      <c r="N351" s="209"/>
    </row>
    <row r="352" spans="1:14" x14ac:dyDescent="0.25">
      <c r="A352" t="str">
        <f t="shared" si="35"/>
        <v>null</v>
      </c>
      <c r="B352" t="s">
        <v>37</v>
      </c>
      <c r="C352" t="s">
        <v>46</v>
      </c>
      <c r="D352" s="206">
        <f t="shared" si="31"/>
        <v>25</v>
      </c>
      <c r="E352" s="1">
        <f>IF($E$41=10,1000,9996)</f>
        <v>1000</v>
      </c>
      <c r="F352" s="14"/>
      <c r="G352" s="72" t="str">
        <f t="shared" si="29"/>
        <v/>
      </c>
      <c r="L352" s="209"/>
      <c r="N352" s="209"/>
    </row>
    <row r="353" spans="1:14" x14ac:dyDescent="0.25">
      <c r="A353" t="str">
        <f t="shared" si="35"/>
        <v>null</v>
      </c>
      <c r="B353" t="s">
        <v>37</v>
      </c>
      <c r="C353" t="s">
        <v>47</v>
      </c>
      <c r="D353" s="206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9"/>
      <c r="N353" s="209"/>
    </row>
    <row r="354" spans="1:14" x14ac:dyDescent="0.25">
      <c r="A354" t="str">
        <f t="shared" si="35"/>
        <v>null</v>
      </c>
      <c r="B354" t="s">
        <v>37</v>
      </c>
      <c r="C354" t="s">
        <v>48</v>
      </c>
      <c r="D354" s="206">
        <f t="shared" si="31"/>
        <v>25</v>
      </c>
      <c r="E354" s="210">
        <f>MACRO!I39</f>
        <v>0</v>
      </c>
      <c r="F354" s="14"/>
      <c r="G354" s="72" t="str">
        <f t="shared" si="29"/>
        <v/>
      </c>
      <c r="L354" s="209"/>
      <c r="N354" s="209"/>
    </row>
    <row r="355" spans="1:14" x14ac:dyDescent="0.25">
      <c r="A355" t="str">
        <f t="shared" si="35"/>
        <v>null</v>
      </c>
      <c r="B355" t="s">
        <v>37</v>
      </c>
      <c r="C355" s="16" t="s">
        <v>49</v>
      </c>
      <c r="D355" s="206">
        <f t="shared" si="31"/>
        <v>25</v>
      </c>
      <c r="E355" s="71">
        <f>ROUND(MACRO!$I$39,2)</f>
        <v>0</v>
      </c>
      <c r="G355" s="72" t="str">
        <f t="shared" si="29"/>
        <v/>
      </c>
      <c r="L355" s="209"/>
      <c r="N355" s="209"/>
    </row>
    <row r="356" spans="1:14" x14ac:dyDescent="0.25">
      <c r="A356" t="str">
        <f t="shared" si="35"/>
        <v>null</v>
      </c>
      <c r="B356" t="s">
        <v>37</v>
      </c>
      <c r="C356" t="s">
        <v>110</v>
      </c>
      <c r="D356" s="206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9"/>
      <c r="N356" s="209"/>
    </row>
    <row r="357" spans="1:14" x14ac:dyDescent="0.25">
      <c r="A357" t="str">
        <f>A358</f>
        <v>null</v>
      </c>
      <c r="B357" t="s">
        <v>37</v>
      </c>
      <c r="C357" t="s">
        <v>38</v>
      </c>
      <c r="D357" s="206">
        <f t="shared" si="31"/>
        <v>26</v>
      </c>
      <c r="E357" s="215">
        <f>MACRO!A40</f>
        <v>26</v>
      </c>
      <c r="G357" s="72" t="str">
        <f t="shared" si="36"/>
        <v/>
      </c>
      <c r="L357" s="209"/>
      <c r="N357" s="209"/>
    </row>
    <row r="358" spans="1:14" x14ac:dyDescent="0.25">
      <c r="A358" t="str">
        <f>IF(E358&gt;0,"go","null")</f>
        <v>null</v>
      </c>
      <c r="B358" t="s">
        <v>37</v>
      </c>
      <c r="C358" t="s">
        <v>39</v>
      </c>
      <c r="D358" s="206">
        <f t="shared" si="31"/>
        <v>26</v>
      </c>
      <c r="E358" s="37">
        <f>MACRO!$B$40</f>
        <v>0</v>
      </c>
      <c r="G358" s="72" t="str">
        <f t="shared" si="36"/>
        <v/>
      </c>
      <c r="L358" s="209"/>
      <c r="N358" s="209"/>
    </row>
    <row r="359" spans="1:14" x14ac:dyDescent="0.25">
      <c r="A359" t="str">
        <f t="shared" ref="A359:A369" si="37">A358</f>
        <v>null</v>
      </c>
      <c r="B359" t="s">
        <v>37</v>
      </c>
      <c r="C359" t="s">
        <v>40</v>
      </c>
      <c r="D359" s="206">
        <f t="shared" si="31"/>
        <v>26</v>
      </c>
      <c r="E359" t="s">
        <v>54</v>
      </c>
      <c r="F359" s="14"/>
      <c r="G359" s="72" t="str">
        <f t="shared" si="36"/>
        <v/>
      </c>
      <c r="L359" s="209"/>
      <c r="N359" s="209"/>
    </row>
    <row r="360" spans="1:14" x14ac:dyDescent="0.25">
      <c r="A360" t="str">
        <f t="shared" si="37"/>
        <v>null</v>
      </c>
      <c r="B360" t="s">
        <v>37</v>
      </c>
      <c r="C360" t="s">
        <v>41</v>
      </c>
      <c r="D360" s="206">
        <f t="shared" si="31"/>
        <v>26</v>
      </c>
      <c r="E360" s="65">
        <f>MACRO!$C$40</f>
        <v>0</v>
      </c>
      <c r="G360" s="72" t="str">
        <f t="shared" si="36"/>
        <v/>
      </c>
      <c r="L360" s="209"/>
      <c r="N360" s="209"/>
    </row>
    <row r="361" spans="1:14" x14ac:dyDescent="0.25">
      <c r="A361" t="str">
        <f t="shared" si="37"/>
        <v>null</v>
      </c>
      <c r="B361" t="s">
        <v>37</v>
      </c>
      <c r="C361" t="s">
        <v>42</v>
      </c>
      <c r="D361" s="206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9"/>
      <c r="N361" s="209"/>
    </row>
    <row r="362" spans="1:14" x14ac:dyDescent="0.25">
      <c r="A362" t="str">
        <f t="shared" si="37"/>
        <v>null</v>
      </c>
      <c r="B362" t="s">
        <v>37</v>
      </c>
      <c r="C362" t="s">
        <v>43</v>
      </c>
      <c r="D362" s="206">
        <f t="shared" si="31"/>
        <v>26</v>
      </c>
      <c r="E362" s="211">
        <f>MACRO!$F$40</f>
        <v>0</v>
      </c>
      <c r="G362" s="72" t="str">
        <f t="shared" si="36"/>
        <v/>
      </c>
      <c r="L362" s="209"/>
      <c r="N362" s="209"/>
    </row>
    <row r="363" spans="1:14" x14ac:dyDescent="0.25">
      <c r="A363" t="str">
        <f t="shared" si="37"/>
        <v>null</v>
      </c>
      <c r="B363" t="s">
        <v>37</v>
      </c>
      <c r="C363" t="s">
        <v>44</v>
      </c>
      <c r="D363" s="206">
        <f t="shared" si="31"/>
        <v>26</v>
      </c>
      <c r="E363" s="212">
        <f>MACRO!$G$40</f>
        <v>0</v>
      </c>
      <c r="G363" s="72" t="str">
        <f t="shared" si="36"/>
        <v/>
      </c>
      <c r="L363" s="209"/>
      <c r="N363" s="209"/>
    </row>
    <row r="364" spans="1:14" x14ac:dyDescent="0.25">
      <c r="A364" t="str">
        <f t="shared" si="37"/>
        <v>null</v>
      </c>
      <c r="B364" t="s">
        <v>37</v>
      </c>
      <c r="C364" s="16" t="s">
        <v>45</v>
      </c>
      <c r="D364" s="206">
        <f t="shared" si="31"/>
        <v>26</v>
      </c>
      <c r="E364" s="71">
        <f>ROUND(MACRO!$J$40,2)</f>
        <v>0</v>
      </c>
      <c r="G364" s="72" t="str">
        <f t="shared" si="36"/>
        <v/>
      </c>
      <c r="L364" s="209"/>
      <c r="N364" s="209"/>
    </row>
    <row r="365" spans="1:14" x14ac:dyDescent="0.25">
      <c r="A365" t="str">
        <f t="shared" si="37"/>
        <v>null</v>
      </c>
      <c r="B365" t="s">
        <v>37</v>
      </c>
      <c r="C365" t="s">
        <v>46</v>
      </c>
      <c r="D365" s="206">
        <f t="shared" si="31"/>
        <v>26</v>
      </c>
      <c r="E365" s="1">
        <f>IF($E$41=10,1000,9996)</f>
        <v>1000</v>
      </c>
      <c r="F365" s="14"/>
      <c r="G365" s="72" t="str">
        <f t="shared" si="36"/>
        <v/>
      </c>
      <c r="L365" s="209"/>
      <c r="N365" s="209"/>
    </row>
    <row r="366" spans="1:14" x14ac:dyDescent="0.25">
      <c r="A366" t="str">
        <f t="shared" si="37"/>
        <v>null</v>
      </c>
      <c r="B366" t="s">
        <v>37</v>
      </c>
      <c r="C366" t="s">
        <v>47</v>
      </c>
      <c r="D366" s="206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9"/>
      <c r="N366" s="209"/>
    </row>
    <row r="367" spans="1:14" x14ac:dyDescent="0.25">
      <c r="A367" t="str">
        <f t="shared" si="37"/>
        <v>null</v>
      </c>
      <c r="B367" t="s">
        <v>37</v>
      </c>
      <c r="C367" t="s">
        <v>48</v>
      </c>
      <c r="D367" s="206">
        <f t="shared" si="38"/>
        <v>26</v>
      </c>
      <c r="E367" s="210">
        <f>MACRO!I40</f>
        <v>0</v>
      </c>
      <c r="F367" s="14"/>
      <c r="G367" s="72" t="str">
        <f t="shared" si="36"/>
        <v/>
      </c>
      <c r="L367" s="209"/>
      <c r="N367" s="209"/>
    </row>
    <row r="368" spans="1:14" x14ac:dyDescent="0.25">
      <c r="A368" t="str">
        <f t="shared" si="37"/>
        <v>null</v>
      </c>
      <c r="B368" t="s">
        <v>37</v>
      </c>
      <c r="C368" s="16" t="s">
        <v>49</v>
      </c>
      <c r="D368" s="206">
        <f t="shared" si="38"/>
        <v>26</v>
      </c>
      <c r="E368" s="71">
        <f>ROUND(MACRO!$I$40,2)</f>
        <v>0</v>
      </c>
      <c r="G368" s="72" t="str">
        <f t="shared" si="36"/>
        <v/>
      </c>
      <c r="L368" s="209"/>
      <c r="N368" s="209"/>
    </row>
    <row r="369" spans="1:14" x14ac:dyDescent="0.25">
      <c r="A369" t="str">
        <f t="shared" si="37"/>
        <v>null</v>
      </c>
      <c r="B369" t="s">
        <v>37</v>
      </c>
      <c r="C369" t="s">
        <v>110</v>
      </c>
      <c r="D369" s="206">
        <f t="shared" si="38"/>
        <v>26</v>
      </c>
      <c r="E369" s="11">
        <f>MACRO!E40</f>
        <v>0</v>
      </c>
      <c r="G369" s="72" t="str">
        <f t="shared" si="36"/>
        <v/>
      </c>
      <c r="L369" s="209"/>
      <c r="N369" s="209"/>
    </row>
    <row r="370" spans="1:14" x14ac:dyDescent="0.25">
      <c r="A370" t="str">
        <f>A371</f>
        <v>null</v>
      </c>
      <c r="B370" t="s">
        <v>37</v>
      </c>
      <c r="C370" t="s">
        <v>38</v>
      </c>
      <c r="D370" s="206">
        <f t="shared" si="38"/>
        <v>27</v>
      </c>
      <c r="E370" s="215">
        <f>MACRO!A41</f>
        <v>27</v>
      </c>
      <c r="G370" s="72" t="str">
        <f t="shared" si="36"/>
        <v/>
      </c>
      <c r="L370" s="209"/>
      <c r="N370" s="209"/>
    </row>
    <row r="371" spans="1:14" x14ac:dyDescent="0.25">
      <c r="A371" t="str">
        <f>IF(E371&gt;0,"go","null")</f>
        <v>null</v>
      </c>
      <c r="B371" t="s">
        <v>37</v>
      </c>
      <c r="C371" t="s">
        <v>39</v>
      </c>
      <c r="D371" s="206">
        <f t="shared" si="38"/>
        <v>27</v>
      </c>
      <c r="E371" s="37">
        <f>MACRO!$B$41</f>
        <v>0</v>
      </c>
      <c r="G371" s="72" t="str">
        <f t="shared" si="36"/>
        <v/>
      </c>
      <c r="L371" s="209"/>
      <c r="N371" s="209"/>
    </row>
    <row r="372" spans="1:14" x14ac:dyDescent="0.25">
      <c r="A372" t="str">
        <f t="shared" ref="A372:A382" si="39">A371</f>
        <v>null</v>
      </c>
      <c r="B372" t="s">
        <v>37</v>
      </c>
      <c r="C372" t="s">
        <v>40</v>
      </c>
      <c r="D372" s="206">
        <f t="shared" si="38"/>
        <v>27</v>
      </c>
      <c r="E372" t="s">
        <v>54</v>
      </c>
      <c r="F372" s="14"/>
      <c r="G372" s="72" t="str">
        <f t="shared" si="36"/>
        <v/>
      </c>
      <c r="L372" s="209"/>
      <c r="N372" s="209"/>
    </row>
    <row r="373" spans="1:14" x14ac:dyDescent="0.25">
      <c r="A373" t="str">
        <f t="shared" si="39"/>
        <v>null</v>
      </c>
      <c r="B373" t="s">
        <v>37</v>
      </c>
      <c r="C373" t="s">
        <v>41</v>
      </c>
      <c r="D373" s="206">
        <f t="shared" si="38"/>
        <v>27</v>
      </c>
      <c r="E373" s="65">
        <f>MACRO!$C$41</f>
        <v>0</v>
      </c>
      <c r="G373" s="72" t="str">
        <f t="shared" si="36"/>
        <v/>
      </c>
      <c r="L373" s="209"/>
      <c r="N373" s="209"/>
    </row>
    <row r="374" spans="1:14" x14ac:dyDescent="0.25">
      <c r="A374" t="str">
        <f t="shared" si="39"/>
        <v>null</v>
      </c>
      <c r="B374" t="s">
        <v>37</v>
      </c>
      <c r="C374" t="s">
        <v>42</v>
      </c>
      <c r="D374" s="206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9"/>
      <c r="N374" s="209"/>
    </row>
    <row r="375" spans="1:14" x14ac:dyDescent="0.25">
      <c r="A375" t="str">
        <f t="shared" si="39"/>
        <v>null</v>
      </c>
      <c r="B375" t="s">
        <v>37</v>
      </c>
      <c r="C375" t="s">
        <v>43</v>
      </c>
      <c r="D375" s="206">
        <f t="shared" si="38"/>
        <v>27</v>
      </c>
      <c r="E375" s="211">
        <f>MACRO!$F$41</f>
        <v>0</v>
      </c>
      <c r="G375" s="72" t="str">
        <f t="shared" si="36"/>
        <v/>
      </c>
      <c r="L375" s="209"/>
      <c r="N375" s="209"/>
    </row>
    <row r="376" spans="1:14" x14ac:dyDescent="0.25">
      <c r="A376" t="str">
        <f t="shared" si="39"/>
        <v>null</v>
      </c>
      <c r="B376" t="s">
        <v>37</v>
      </c>
      <c r="C376" t="s">
        <v>44</v>
      </c>
      <c r="D376" s="206">
        <f t="shared" si="38"/>
        <v>27</v>
      </c>
      <c r="E376" s="212">
        <f>MACRO!$G$41</f>
        <v>0</v>
      </c>
      <c r="G376" s="72" t="str">
        <f t="shared" si="36"/>
        <v/>
      </c>
      <c r="L376" s="209"/>
      <c r="N376" s="209"/>
    </row>
    <row r="377" spans="1:14" x14ac:dyDescent="0.25">
      <c r="A377" t="str">
        <f t="shared" si="39"/>
        <v>null</v>
      </c>
      <c r="B377" t="s">
        <v>37</v>
      </c>
      <c r="C377" s="16" t="s">
        <v>45</v>
      </c>
      <c r="D377" s="206">
        <f t="shared" si="38"/>
        <v>27</v>
      </c>
      <c r="E377" s="71">
        <f>ROUND(MACRO!$J$41,2)</f>
        <v>0</v>
      </c>
      <c r="G377" s="72" t="str">
        <f t="shared" si="36"/>
        <v/>
      </c>
      <c r="L377" s="209"/>
      <c r="N377" s="209"/>
    </row>
    <row r="378" spans="1:14" x14ac:dyDescent="0.25">
      <c r="A378" t="str">
        <f t="shared" si="39"/>
        <v>null</v>
      </c>
      <c r="B378" t="s">
        <v>37</v>
      </c>
      <c r="C378" t="s">
        <v>46</v>
      </c>
      <c r="D378" s="206">
        <f t="shared" si="38"/>
        <v>27</v>
      </c>
      <c r="E378" s="1">
        <f>IF($E$41=10,1000,9996)</f>
        <v>1000</v>
      </c>
      <c r="F378" s="14"/>
      <c r="G378" s="72" t="str">
        <f t="shared" si="36"/>
        <v/>
      </c>
      <c r="L378" s="209"/>
      <c r="N378" s="209"/>
    </row>
    <row r="379" spans="1:14" x14ac:dyDescent="0.25">
      <c r="A379" t="str">
        <f t="shared" si="39"/>
        <v>null</v>
      </c>
      <c r="B379" t="s">
        <v>37</v>
      </c>
      <c r="C379" t="s">
        <v>47</v>
      </c>
      <c r="D379" s="206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9"/>
      <c r="N379" s="209"/>
    </row>
    <row r="380" spans="1:14" x14ac:dyDescent="0.25">
      <c r="A380" t="str">
        <f t="shared" si="39"/>
        <v>null</v>
      </c>
      <c r="B380" t="s">
        <v>37</v>
      </c>
      <c r="C380" t="s">
        <v>48</v>
      </c>
      <c r="D380" s="206">
        <f t="shared" si="38"/>
        <v>27</v>
      </c>
      <c r="E380" s="210">
        <f>MACRO!I41</f>
        <v>0</v>
      </c>
      <c r="F380" s="14"/>
      <c r="G380" s="72" t="str">
        <f t="shared" si="36"/>
        <v/>
      </c>
      <c r="L380" s="209"/>
      <c r="N380" s="209"/>
    </row>
    <row r="381" spans="1:14" x14ac:dyDescent="0.25">
      <c r="A381" t="str">
        <f t="shared" si="39"/>
        <v>null</v>
      </c>
      <c r="B381" t="s">
        <v>37</v>
      </c>
      <c r="C381" s="16" t="s">
        <v>49</v>
      </c>
      <c r="D381" s="206">
        <f t="shared" si="38"/>
        <v>27</v>
      </c>
      <c r="E381" s="71">
        <f>ROUND(MACRO!$I$41,2)</f>
        <v>0</v>
      </c>
      <c r="G381" s="72" t="str">
        <f t="shared" si="36"/>
        <v/>
      </c>
      <c r="L381" s="209"/>
      <c r="N381" s="209"/>
    </row>
    <row r="382" spans="1:14" x14ac:dyDescent="0.25">
      <c r="A382" t="str">
        <f t="shared" si="39"/>
        <v>null</v>
      </c>
      <c r="B382" t="s">
        <v>37</v>
      </c>
      <c r="C382" t="s">
        <v>110</v>
      </c>
      <c r="D382" s="206">
        <f t="shared" si="38"/>
        <v>27</v>
      </c>
      <c r="E382" s="11">
        <f>MACRO!E41</f>
        <v>0</v>
      </c>
      <c r="G382" s="72" t="str">
        <f t="shared" si="36"/>
        <v/>
      </c>
      <c r="L382" s="209"/>
      <c r="N382" s="209"/>
    </row>
    <row r="383" spans="1:14" x14ac:dyDescent="0.25">
      <c r="A383" t="str">
        <f>A384</f>
        <v>null</v>
      </c>
      <c r="B383" t="s">
        <v>37</v>
      </c>
      <c r="C383" t="s">
        <v>38</v>
      </c>
      <c r="D383" s="206">
        <f t="shared" si="38"/>
        <v>28</v>
      </c>
      <c r="E383" s="215">
        <f>MACRO!A42</f>
        <v>28</v>
      </c>
      <c r="G383" s="72" t="str">
        <f t="shared" si="36"/>
        <v/>
      </c>
      <c r="L383" s="209"/>
      <c r="N383" s="209"/>
    </row>
    <row r="384" spans="1:14" x14ac:dyDescent="0.25">
      <c r="A384" t="str">
        <f>IF(E384&gt;0,"go","null")</f>
        <v>null</v>
      </c>
      <c r="B384" t="s">
        <v>37</v>
      </c>
      <c r="C384" t="s">
        <v>39</v>
      </c>
      <c r="D384" s="206">
        <f t="shared" si="38"/>
        <v>28</v>
      </c>
      <c r="E384" s="37">
        <f>MACRO!$B$42</f>
        <v>0</v>
      </c>
      <c r="G384" s="72" t="str">
        <f t="shared" si="36"/>
        <v/>
      </c>
      <c r="L384" s="209"/>
      <c r="N384" s="209"/>
    </row>
    <row r="385" spans="1:14" x14ac:dyDescent="0.25">
      <c r="A385" t="str">
        <f t="shared" ref="A385:A395" si="40">A384</f>
        <v>null</v>
      </c>
      <c r="B385" t="s">
        <v>37</v>
      </c>
      <c r="C385" t="s">
        <v>40</v>
      </c>
      <c r="D385" s="206">
        <f t="shared" si="38"/>
        <v>28</v>
      </c>
      <c r="E385" t="s">
        <v>54</v>
      </c>
      <c r="F385" s="14"/>
      <c r="G385" s="72" t="str">
        <f t="shared" si="36"/>
        <v/>
      </c>
      <c r="L385" s="209"/>
      <c r="N385" s="209"/>
    </row>
    <row r="386" spans="1:14" x14ac:dyDescent="0.25">
      <c r="A386" t="str">
        <f t="shared" si="40"/>
        <v>null</v>
      </c>
      <c r="B386" t="s">
        <v>37</v>
      </c>
      <c r="C386" t="s">
        <v>41</v>
      </c>
      <c r="D386" s="206">
        <f t="shared" si="38"/>
        <v>28</v>
      </c>
      <c r="E386" s="65">
        <f>MACRO!$C$42</f>
        <v>0</v>
      </c>
      <c r="G386" s="72" t="str">
        <f t="shared" si="36"/>
        <v/>
      </c>
      <c r="L386" s="209"/>
      <c r="N386" s="209"/>
    </row>
    <row r="387" spans="1:14" x14ac:dyDescent="0.25">
      <c r="A387" t="str">
        <f t="shared" si="40"/>
        <v>null</v>
      </c>
      <c r="B387" t="s">
        <v>37</v>
      </c>
      <c r="C387" t="s">
        <v>42</v>
      </c>
      <c r="D387" s="206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9"/>
      <c r="N387" s="209"/>
    </row>
    <row r="388" spans="1:14" x14ac:dyDescent="0.25">
      <c r="A388" t="str">
        <f t="shared" si="40"/>
        <v>null</v>
      </c>
      <c r="B388" t="s">
        <v>37</v>
      </c>
      <c r="C388" t="s">
        <v>43</v>
      </c>
      <c r="D388" s="206">
        <f t="shared" si="38"/>
        <v>28</v>
      </c>
      <c r="E388" s="211">
        <f>MACRO!$F$42</f>
        <v>0</v>
      </c>
      <c r="G388" s="72" t="str">
        <f t="shared" si="36"/>
        <v/>
      </c>
      <c r="L388" s="209"/>
      <c r="N388" s="209"/>
    </row>
    <row r="389" spans="1:14" x14ac:dyDescent="0.25">
      <c r="A389" t="str">
        <f t="shared" si="40"/>
        <v>null</v>
      </c>
      <c r="B389" t="s">
        <v>37</v>
      </c>
      <c r="C389" t="s">
        <v>44</v>
      </c>
      <c r="D389" s="206">
        <f t="shared" si="38"/>
        <v>28</v>
      </c>
      <c r="E389" s="212">
        <f>MACRO!$G$42</f>
        <v>0</v>
      </c>
      <c r="G389" s="72" t="str">
        <f t="shared" si="36"/>
        <v/>
      </c>
      <c r="L389" s="209"/>
      <c r="N389" s="209"/>
    </row>
    <row r="390" spans="1:14" x14ac:dyDescent="0.25">
      <c r="A390" t="str">
        <f t="shared" si="40"/>
        <v>null</v>
      </c>
      <c r="B390" t="s">
        <v>37</v>
      </c>
      <c r="C390" s="16" t="s">
        <v>45</v>
      </c>
      <c r="D390" s="206">
        <f t="shared" si="38"/>
        <v>28</v>
      </c>
      <c r="E390" s="71">
        <f>ROUND(MACRO!$J$42,2)</f>
        <v>0</v>
      </c>
      <c r="G390" s="72" t="str">
        <f t="shared" si="36"/>
        <v/>
      </c>
      <c r="L390" s="209"/>
      <c r="N390" s="209"/>
    </row>
    <row r="391" spans="1:14" x14ac:dyDescent="0.25">
      <c r="A391" t="str">
        <f t="shared" si="40"/>
        <v>null</v>
      </c>
      <c r="B391" t="s">
        <v>37</v>
      </c>
      <c r="C391" t="s">
        <v>46</v>
      </c>
      <c r="D391" s="206">
        <f t="shared" si="38"/>
        <v>28</v>
      </c>
      <c r="E391" s="1">
        <f>IF($E$41=10,1000,9996)</f>
        <v>1000</v>
      </c>
      <c r="F391" s="14"/>
      <c r="G391" s="72" t="str">
        <f t="shared" si="36"/>
        <v/>
      </c>
      <c r="L391" s="209"/>
      <c r="N391" s="209"/>
    </row>
    <row r="392" spans="1:14" x14ac:dyDescent="0.25">
      <c r="A392" t="str">
        <f t="shared" si="40"/>
        <v>null</v>
      </c>
      <c r="B392" t="s">
        <v>37</v>
      </c>
      <c r="C392" t="s">
        <v>47</v>
      </c>
      <c r="D392" s="206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9"/>
      <c r="N392" s="209"/>
    </row>
    <row r="393" spans="1:14" x14ac:dyDescent="0.25">
      <c r="A393" t="str">
        <f t="shared" si="40"/>
        <v>null</v>
      </c>
      <c r="B393" t="s">
        <v>37</v>
      </c>
      <c r="C393" t="s">
        <v>48</v>
      </c>
      <c r="D393" s="206">
        <f t="shared" si="38"/>
        <v>28</v>
      </c>
      <c r="E393" s="210">
        <f>MACRO!I42</f>
        <v>0</v>
      </c>
      <c r="F393" s="14"/>
      <c r="G393" s="72" t="str">
        <f t="shared" si="36"/>
        <v/>
      </c>
      <c r="L393" s="209"/>
      <c r="N393" s="209"/>
    </row>
    <row r="394" spans="1:14" x14ac:dyDescent="0.25">
      <c r="A394" t="str">
        <f t="shared" si="40"/>
        <v>null</v>
      </c>
      <c r="B394" t="s">
        <v>37</v>
      </c>
      <c r="C394" s="16" t="s">
        <v>49</v>
      </c>
      <c r="D394" s="206">
        <f t="shared" si="38"/>
        <v>28</v>
      </c>
      <c r="E394" s="71">
        <f>ROUND(MACRO!$I$42,2)</f>
        <v>0</v>
      </c>
      <c r="G394" s="72" t="str">
        <f t="shared" si="36"/>
        <v/>
      </c>
      <c r="L394" s="209"/>
      <c r="N394" s="209"/>
    </row>
    <row r="395" spans="1:14" x14ac:dyDescent="0.25">
      <c r="A395" t="str">
        <f t="shared" si="40"/>
        <v>null</v>
      </c>
      <c r="B395" t="s">
        <v>37</v>
      </c>
      <c r="C395" t="s">
        <v>110</v>
      </c>
      <c r="D395" s="206">
        <f t="shared" si="38"/>
        <v>28</v>
      </c>
      <c r="E395" s="11">
        <f>MACRO!E42</f>
        <v>0</v>
      </c>
      <c r="G395" s="72" t="str">
        <f t="shared" si="36"/>
        <v/>
      </c>
      <c r="L395" s="209"/>
      <c r="N395" s="209"/>
    </row>
    <row r="396" spans="1:14" x14ac:dyDescent="0.25">
      <c r="A396" t="str">
        <f>A397</f>
        <v>null</v>
      </c>
      <c r="B396" t="s">
        <v>37</v>
      </c>
      <c r="C396" t="s">
        <v>38</v>
      </c>
      <c r="D396" s="206">
        <f t="shared" si="38"/>
        <v>29</v>
      </c>
      <c r="E396" s="215">
        <f>MACRO!A43</f>
        <v>29</v>
      </c>
      <c r="G396" s="72" t="str">
        <f t="shared" si="36"/>
        <v/>
      </c>
      <c r="L396" s="209"/>
      <c r="N396" s="209"/>
    </row>
    <row r="397" spans="1:14" x14ac:dyDescent="0.25">
      <c r="A397" t="str">
        <f>IF(E397&gt;0,"go","null")</f>
        <v>null</v>
      </c>
      <c r="B397" t="s">
        <v>37</v>
      </c>
      <c r="C397" t="s">
        <v>39</v>
      </c>
      <c r="D397" s="206">
        <f t="shared" si="38"/>
        <v>29</v>
      </c>
      <c r="E397" s="37">
        <f>MACRO!$B$43</f>
        <v>0</v>
      </c>
      <c r="G397" s="72" t="str">
        <f t="shared" si="36"/>
        <v/>
      </c>
      <c r="L397" s="209"/>
      <c r="N397" s="209"/>
    </row>
    <row r="398" spans="1:14" x14ac:dyDescent="0.25">
      <c r="A398" t="str">
        <f t="shared" ref="A398:A408" si="41">A397</f>
        <v>null</v>
      </c>
      <c r="B398" t="s">
        <v>37</v>
      </c>
      <c r="C398" t="s">
        <v>40</v>
      </c>
      <c r="D398" s="206">
        <f t="shared" si="38"/>
        <v>29</v>
      </c>
      <c r="E398" t="s">
        <v>54</v>
      </c>
      <c r="F398" s="14"/>
      <c r="G398" s="72" t="str">
        <f t="shared" si="36"/>
        <v/>
      </c>
      <c r="L398" s="209"/>
      <c r="N398" s="209"/>
    </row>
    <row r="399" spans="1:14" x14ac:dyDescent="0.25">
      <c r="A399" t="str">
        <f t="shared" si="41"/>
        <v>null</v>
      </c>
      <c r="B399" t="s">
        <v>37</v>
      </c>
      <c r="C399" t="s">
        <v>41</v>
      </c>
      <c r="D399" s="206">
        <f t="shared" si="38"/>
        <v>29</v>
      </c>
      <c r="E399" s="65">
        <f>MACRO!$C$43</f>
        <v>0</v>
      </c>
      <c r="G399" s="72" t="str">
        <f t="shared" si="36"/>
        <v/>
      </c>
      <c r="L399" s="209"/>
      <c r="N399" s="209"/>
    </row>
    <row r="400" spans="1:14" x14ac:dyDescent="0.25">
      <c r="A400" t="str">
        <f t="shared" si="41"/>
        <v>null</v>
      </c>
      <c r="B400" t="s">
        <v>37</v>
      </c>
      <c r="C400" t="s">
        <v>42</v>
      </c>
      <c r="D400" s="206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9"/>
      <c r="N400" s="209"/>
    </row>
    <row r="401" spans="1:14" x14ac:dyDescent="0.25">
      <c r="A401" t="str">
        <f t="shared" si="41"/>
        <v>null</v>
      </c>
      <c r="B401" t="s">
        <v>37</v>
      </c>
      <c r="C401" t="s">
        <v>43</v>
      </c>
      <c r="D401" s="206">
        <f t="shared" si="38"/>
        <v>29</v>
      </c>
      <c r="E401" s="211">
        <f>MACRO!$F$43</f>
        <v>0</v>
      </c>
      <c r="G401" s="72" t="str">
        <f t="shared" si="36"/>
        <v/>
      </c>
      <c r="L401" s="209"/>
      <c r="N401" s="209"/>
    </row>
    <row r="402" spans="1:14" x14ac:dyDescent="0.25">
      <c r="A402" t="str">
        <f t="shared" si="41"/>
        <v>null</v>
      </c>
      <c r="B402" t="s">
        <v>37</v>
      </c>
      <c r="C402" t="s">
        <v>44</v>
      </c>
      <c r="D402" s="206">
        <f t="shared" si="38"/>
        <v>29</v>
      </c>
      <c r="E402" s="212">
        <f>MACRO!$G$43</f>
        <v>0</v>
      </c>
      <c r="G402" s="72" t="str">
        <f t="shared" si="36"/>
        <v/>
      </c>
      <c r="L402" s="209"/>
      <c r="N402" s="209"/>
    </row>
    <row r="403" spans="1:14" x14ac:dyDescent="0.25">
      <c r="A403" t="str">
        <f t="shared" si="41"/>
        <v>null</v>
      </c>
      <c r="B403" t="s">
        <v>37</v>
      </c>
      <c r="C403" s="16" t="s">
        <v>45</v>
      </c>
      <c r="D403" s="206">
        <f t="shared" si="38"/>
        <v>29</v>
      </c>
      <c r="E403" s="71">
        <f>ROUND(MACRO!$J$43,2)</f>
        <v>0</v>
      </c>
      <c r="G403" s="72" t="str">
        <f t="shared" si="36"/>
        <v/>
      </c>
      <c r="L403" s="209"/>
      <c r="N403" s="209"/>
    </row>
    <row r="404" spans="1:14" x14ac:dyDescent="0.25">
      <c r="A404" t="str">
        <f t="shared" si="41"/>
        <v>null</v>
      </c>
      <c r="B404" t="s">
        <v>37</v>
      </c>
      <c r="C404" t="s">
        <v>46</v>
      </c>
      <c r="D404" s="206">
        <f t="shared" si="38"/>
        <v>29</v>
      </c>
      <c r="E404" s="1">
        <f>IF($E$41=10,1000,9996)</f>
        <v>1000</v>
      </c>
      <c r="F404" s="14"/>
      <c r="G404" s="72" t="str">
        <f t="shared" si="36"/>
        <v/>
      </c>
      <c r="L404" s="209"/>
      <c r="N404" s="209"/>
    </row>
    <row r="405" spans="1:14" x14ac:dyDescent="0.25">
      <c r="A405" t="str">
        <f t="shared" si="41"/>
        <v>null</v>
      </c>
      <c r="B405" t="s">
        <v>37</v>
      </c>
      <c r="C405" t="s">
        <v>47</v>
      </c>
      <c r="D405" s="206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9"/>
      <c r="N405" s="209"/>
    </row>
    <row r="406" spans="1:14" x14ac:dyDescent="0.25">
      <c r="A406" t="str">
        <f t="shared" si="41"/>
        <v>null</v>
      </c>
      <c r="B406" t="s">
        <v>37</v>
      </c>
      <c r="C406" t="s">
        <v>48</v>
      </c>
      <c r="D406" s="206">
        <f t="shared" si="38"/>
        <v>29</v>
      </c>
      <c r="E406" s="210">
        <f>MACRO!I43</f>
        <v>0</v>
      </c>
      <c r="F406" s="14"/>
      <c r="G406" s="72" t="str">
        <f t="shared" si="36"/>
        <v/>
      </c>
      <c r="L406" s="209"/>
      <c r="N406" s="209"/>
    </row>
    <row r="407" spans="1:14" x14ac:dyDescent="0.25">
      <c r="A407" t="str">
        <f t="shared" si="41"/>
        <v>null</v>
      </c>
      <c r="B407" t="s">
        <v>37</v>
      </c>
      <c r="C407" s="16" t="s">
        <v>49</v>
      </c>
      <c r="D407" s="206">
        <f t="shared" si="38"/>
        <v>29</v>
      </c>
      <c r="E407" s="71">
        <f>ROUND(MACRO!$I$43,2)</f>
        <v>0</v>
      </c>
      <c r="G407" s="72" t="str">
        <f t="shared" si="36"/>
        <v/>
      </c>
      <c r="L407" s="209"/>
      <c r="N407" s="209"/>
    </row>
    <row r="408" spans="1:14" x14ac:dyDescent="0.25">
      <c r="A408" t="str">
        <f t="shared" si="41"/>
        <v>null</v>
      </c>
      <c r="B408" t="s">
        <v>37</v>
      </c>
      <c r="C408" t="s">
        <v>110</v>
      </c>
      <c r="D408" s="206">
        <f t="shared" si="38"/>
        <v>29</v>
      </c>
      <c r="E408" s="11">
        <f>MACRO!E43</f>
        <v>0</v>
      </c>
      <c r="G408" s="72" t="str">
        <f t="shared" si="36"/>
        <v/>
      </c>
      <c r="L408" s="209"/>
      <c r="N408" s="209"/>
    </row>
    <row r="409" spans="1:14" x14ac:dyDescent="0.25">
      <c r="A409" t="str">
        <f>A410</f>
        <v>null</v>
      </c>
      <c r="B409" t="s">
        <v>37</v>
      </c>
      <c r="C409" t="s">
        <v>38</v>
      </c>
      <c r="D409" s="206">
        <f t="shared" si="38"/>
        <v>30</v>
      </c>
      <c r="E409" s="215">
        <f>MACRO!A44</f>
        <v>30</v>
      </c>
      <c r="G409" s="72" t="str">
        <f t="shared" si="36"/>
        <v/>
      </c>
      <c r="L409" s="209"/>
      <c r="N409" s="209"/>
    </row>
    <row r="410" spans="1:14" x14ac:dyDescent="0.25">
      <c r="A410" t="str">
        <f>IF(E410&gt;0,"go","null")</f>
        <v>null</v>
      </c>
      <c r="B410" t="s">
        <v>37</v>
      </c>
      <c r="C410" t="s">
        <v>39</v>
      </c>
      <c r="D410" s="206">
        <f t="shared" si="38"/>
        <v>30</v>
      </c>
      <c r="E410" s="37">
        <f>MACRO!$B$44</f>
        <v>0</v>
      </c>
      <c r="G410" s="72" t="str">
        <f t="shared" si="36"/>
        <v/>
      </c>
      <c r="L410" s="209"/>
      <c r="N410" s="209"/>
    </row>
    <row r="411" spans="1:14" x14ac:dyDescent="0.25">
      <c r="A411" t="str">
        <f t="shared" ref="A411:A421" si="42">A410</f>
        <v>null</v>
      </c>
      <c r="B411" t="s">
        <v>37</v>
      </c>
      <c r="C411" t="s">
        <v>40</v>
      </c>
      <c r="D411" s="206">
        <f t="shared" si="38"/>
        <v>30</v>
      </c>
      <c r="E411" t="s">
        <v>54</v>
      </c>
      <c r="F411" s="14"/>
      <c r="G411" s="72" t="str">
        <f t="shared" si="36"/>
        <v/>
      </c>
      <c r="L411" s="209"/>
      <c r="N411" s="209"/>
    </row>
    <row r="412" spans="1:14" x14ac:dyDescent="0.25">
      <c r="A412" t="str">
        <f t="shared" si="42"/>
        <v>null</v>
      </c>
      <c r="B412" t="s">
        <v>37</v>
      </c>
      <c r="C412" t="s">
        <v>41</v>
      </c>
      <c r="D412" s="206">
        <f t="shared" si="38"/>
        <v>30</v>
      </c>
      <c r="E412" s="65">
        <f>MACRO!$C$44</f>
        <v>0</v>
      </c>
      <c r="G412" s="72" t="str">
        <f t="shared" si="36"/>
        <v/>
      </c>
      <c r="L412" s="209"/>
      <c r="N412" s="209"/>
    </row>
    <row r="413" spans="1:14" x14ac:dyDescent="0.25">
      <c r="A413" t="str">
        <f t="shared" si="42"/>
        <v>null</v>
      </c>
      <c r="B413" t="s">
        <v>37</v>
      </c>
      <c r="C413" t="s">
        <v>42</v>
      </c>
      <c r="D413" s="206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9"/>
      <c r="N413" s="209"/>
    </row>
    <row r="414" spans="1:14" x14ac:dyDescent="0.25">
      <c r="A414" t="str">
        <f t="shared" si="42"/>
        <v>null</v>
      </c>
      <c r="B414" t="s">
        <v>37</v>
      </c>
      <c r="C414" t="s">
        <v>43</v>
      </c>
      <c r="D414" s="206">
        <f t="shared" si="38"/>
        <v>30</v>
      </c>
      <c r="E414" s="211">
        <f>MACRO!$F$44</f>
        <v>0</v>
      </c>
      <c r="G414" s="72" t="str">
        <f t="shared" si="36"/>
        <v/>
      </c>
      <c r="L414" s="209"/>
      <c r="N414" s="209"/>
    </row>
    <row r="415" spans="1:14" x14ac:dyDescent="0.25">
      <c r="A415" t="str">
        <f t="shared" si="42"/>
        <v>null</v>
      </c>
      <c r="B415" t="s">
        <v>37</v>
      </c>
      <c r="C415" t="s">
        <v>44</v>
      </c>
      <c r="D415" s="206">
        <f t="shared" si="38"/>
        <v>30</v>
      </c>
      <c r="E415" s="212">
        <f>MACRO!$G$44</f>
        <v>0</v>
      </c>
      <c r="G415" s="72" t="str">
        <f t="shared" si="36"/>
        <v/>
      </c>
      <c r="L415" s="209"/>
      <c r="N415" s="209"/>
    </row>
    <row r="416" spans="1:14" x14ac:dyDescent="0.25">
      <c r="A416" t="str">
        <f t="shared" si="42"/>
        <v>null</v>
      </c>
      <c r="B416" t="s">
        <v>37</v>
      </c>
      <c r="C416" s="16" t="s">
        <v>45</v>
      </c>
      <c r="D416" s="206">
        <f t="shared" si="38"/>
        <v>30</v>
      </c>
      <c r="E416" s="71">
        <f>ROUND(MACRO!$J$44,2)</f>
        <v>0</v>
      </c>
      <c r="G416" s="72" t="str">
        <f t="shared" si="36"/>
        <v/>
      </c>
      <c r="L416" s="209"/>
      <c r="N416" s="209"/>
    </row>
    <row r="417" spans="1:14" x14ac:dyDescent="0.25">
      <c r="A417" t="str">
        <f t="shared" si="42"/>
        <v>null</v>
      </c>
      <c r="B417" t="s">
        <v>37</v>
      </c>
      <c r="C417" t="s">
        <v>46</v>
      </c>
      <c r="D417" s="206">
        <f t="shared" si="38"/>
        <v>30</v>
      </c>
      <c r="E417" s="1">
        <f>IF($E$41=10,1000,9996)</f>
        <v>1000</v>
      </c>
      <c r="F417" s="14"/>
      <c r="G417" s="72" t="str">
        <f t="shared" si="36"/>
        <v/>
      </c>
      <c r="L417" s="209"/>
      <c r="N417" s="209"/>
    </row>
    <row r="418" spans="1:14" x14ac:dyDescent="0.25">
      <c r="A418" t="str">
        <f t="shared" si="42"/>
        <v>null</v>
      </c>
      <c r="B418" t="s">
        <v>37</v>
      </c>
      <c r="C418" t="s">
        <v>47</v>
      </c>
      <c r="D418" s="206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9"/>
      <c r="N418" s="209"/>
    </row>
    <row r="419" spans="1:14" x14ac:dyDescent="0.25">
      <c r="A419" t="str">
        <f t="shared" si="42"/>
        <v>null</v>
      </c>
      <c r="B419" t="s">
        <v>37</v>
      </c>
      <c r="C419" t="s">
        <v>48</v>
      </c>
      <c r="D419" s="206">
        <f t="shared" si="38"/>
        <v>30</v>
      </c>
      <c r="E419" s="210">
        <f>MACRO!I44</f>
        <v>0</v>
      </c>
      <c r="F419" s="14"/>
      <c r="G419" s="72" t="str">
        <f t="shared" si="36"/>
        <v/>
      </c>
      <c r="L419" s="209"/>
      <c r="N419" s="209"/>
    </row>
    <row r="420" spans="1:14" x14ac:dyDescent="0.25">
      <c r="A420" t="str">
        <f t="shared" si="42"/>
        <v>null</v>
      </c>
      <c r="B420" t="s">
        <v>37</v>
      </c>
      <c r="C420" s="16" t="s">
        <v>49</v>
      </c>
      <c r="D420" s="206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9"/>
      <c r="N420" s="209"/>
    </row>
    <row r="421" spans="1:14" x14ac:dyDescent="0.25">
      <c r="A421" t="str">
        <f t="shared" si="42"/>
        <v>null</v>
      </c>
      <c r="B421" t="s">
        <v>37</v>
      </c>
      <c r="C421" t="s">
        <v>110</v>
      </c>
      <c r="D421" s="206">
        <f t="shared" si="38"/>
        <v>30</v>
      </c>
      <c r="E421" s="11">
        <f>MACRO!E44</f>
        <v>0</v>
      </c>
      <c r="G421" s="72" t="str">
        <f t="shared" si="43"/>
        <v/>
      </c>
      <c r="L421" s="209"/>
      <c r="N421" s="209"/>
    </row>
    <row r="422" spans="1:14" x14ac:dyDescent="0.25">
      <c r="A422" t="str">
        <f>A423</f>
        <v>null</v>
      </c>
      <c r="B422" t="s">
        <v>37</v>
      </c>
      <c r="C422" t="s">
        <v>38</v>
      </c>
      <c r="D422" s="206">
        <f t="shared" si="38"/>
        <v>31</v>
      </c>
      <c r="E422" s="215">
        <f>MACRO!A45</f>
        <v>31</v>
      </c>
      <c r="G422" s="72" t="str">
        <f t="shared" si="43"/>
        <v/>
      </c>
      <c r="L422" s="209"/>
      <c r="N422" s="209"/>
    </row>
    <row r="423" spans="1:14" x14ac:dyDescent="0.25">
      <c r="A423" t="str">
        <f>IF(E423&gt;0,"go","null")</f>
        <v>null</v>
      </c>
      <c r="B423" t="s">
        <v>37</v>
      </c>
      <c r="C423" t="s">
        <v>39</v>
      </c>
      <c r="D423" s="206">
        <f t="shared" si="38"/>
        <v>31</v>
      </c>
      <c r="E423" s="37">
        <f>MACRO!$B$45</f>
        <v>0</v>
      </c>
      <c r="G423" s="72" t="str">
        <f t="shared" si="43"/>
        <v/>
      </c>
      <c r="L423" s="209"/>
      <c r="N423" s="209"/>
    </row>
    <row r="424" spans="1:14" x14ac:dyDescent="0.25">
      <c r="A424" t="str">
        <f t="shared" ref="A424:A434" si="44">A423</f>
        <v>null</v>
      </c>
      <c r="B424" t="s">
        <v>37</v>
      </c>
      <c r="C424" t="s">
        <v>40</v>
      </c>
      <c r="D424" s="206">
        <f t="shared" si="38"/>
        <v>31</v>
      </c>
      <c r="E424" t="s">
        <v>54</v>
      </c>
      <c r="F424" s="14"/>
      <c r="G424" s="72" t="str">
        <f t="shared" si="43"/>
        <v/>
      </c>
      <c r="L424" s="209"/>
      <c r="N424" s="209"/>
    </row>
    <row r="425" spans="1:14" x14ac:dyDescent="0.25">
      <c r="A425" t="str">
        <f t="shared" si="44"/>
        <v>null</v>
      </c>
      <c r="B425" t="s">
        <v>37</v>
      </c>
      <c r="C425" t="s">
        <v>41</v>
      </c>
      <c r="D425" s="206">
        <f t="shared" si="38"/>
        <v>31</v>
      </c>
      <c r="E425" s="65">
        <f>MACRO!$C$45</f>
        <v>0</v>
      </c>
      <c r="G425" s="72" t="str">
        <f t="shared" si="43"/>
        <v/>
      </c>
      <c r="L425" s="209"/>
      <c r="N425" s="209"/>
    </row>
    <row r="426" spans="1:14" x14ac:dyDescent="0.25">
      <c r="A426" t="str">
        <f t="shared" si="44"/>
        <v>null</v>
      </c>
      <c r="B426" t="s">
        <v>37</v>
      </c>
      <c r="C426" t="s">
        <v>42</v>
      </c>
      <c r="D426" s="206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9"/>
      <c r="N426" s="209"/>
    </row>
    <row r="427" spans="1:14" x14ac:dyDescent="0.25">
      <c r="A427" t="str">
        <f t="shared" si="44"/>
        <v>null</v>
      </c>
      <c r="B427" t="s">
        <v>37</v>
      </c>
      <c r="C427" t="s">
        <v>43</v>
      </c>
      <c r="D427" s="206">
        <f t="shared" si="38"/>
        <v>31</v>
      </c>
      <c r="E427" s="211">
        <f>MACRO!$F$45</f>
        <v>0</v>
      </c>
      <c r="G427" s="72" t="str">
        <f t="shared" si="43"/>
        <v/>
      </c>
      <c r="L427" s="209"/>
      <c r="N427" s="209"/>
    </row>
    <row r="428" spans="1:14" x14ac:dyDescent="0.25">
      <c r="A428" t="str">
        <f t="shared" si="44"/>
        <v>null</v>
      </c>
      <c r="B428" t="s">
        <v>37</v>
      </c>
      <c r="C428" t="s">
        <v>44</v>
      </c>
      <c r="D428" s="206">
        <f t="shared" si="38"/>
        <v>31</v>
      </c>
      <c r="E428" s="212">
        <f>MACRO!$G$45</f>
        <v>0</v>
      </c>
      <c r="G428" s="72" t="str">
        <f t="shared" si="43"/>
        <v/>
      </c>
      <c r="L428" s="209"/>
      <c r="N428" s="209"/>
    </row>
    <row r="429" spans="1:14" x14ac:dyDescent="0.25">
      <c r="A429" t="str">
        <f t="shared" si="44"/>
        <v>null</v>
      </c>
      <c r="B429" t="s">
        <v>37</v>
      </c>
      <c r="C429" s="16" t="s">
        <v>45</v>
      </c>
      <c r="D429" s="206">
        <f t="shared" si="38"/>
        <v>31</v>
      </c>
      <c r="E429" s="71">
        <f>ROUND(MACRO!$J$45,2)</f>
        <v>0</v>
      </c>
      <c r="G429" s="72" t="str">
        <f t="shared" si="43"/>
        <v/>
      </c>
      <c r="L429" s="209"/>
      <c r="N429" s="209"/>
    </row>
    <row r="430" spans="1:14" x14ac:dyDescent="0.25">
      <c r="A430" t="str">
        <f t="shared" si="44"/>
        <v>null</v>
      </c>
      <c r="B430" t="s">
        <v>37</v>
      </c>
      <c r="C430" t="s">
        <v>46</v>
      </c>
      <c r="D430" s="206">
        <f t="shared" ref="D430:D447" si="45">IF(C430="NroLinDet",D429+1,D429)</f>
        <v>31</v>
      </c>
      <c r="E430" s="1">
        <f>IF($E$41=10,1000,9996)</f>
        <v>1000</v>
      </c>
      <c r="F430" s="14"/>
      <c r="G430" s="72" t="str">
        <f t="shared" si="43"/>
        <v/>
      </c>
      <c r="L430" s="209"/>
      <c r="N430" s="209"/>
    </row>
    <row r="431" spans="1:14" x14ac:dyDescent="0.25">
      <c r="A431" t="str">
        <f t="shared" si="44"/>
        <v>null</v>
      </c>
      <c r="B431" t="s">
        <v>37</v>
      </c>
      <c r="C431" t="s">
        <v>47</v>
      </c>
      <c r="D431" s="206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9"/>
      <c r="N431" s="209"/>
    </row>
    <row r="432" spans="1:14" x14ac:dyDescent="0.25">
      <c r="A432" t="str">
        <f t="shared" si="44"/>
        <v>null</v>
      </c>
      <c r="B432" t="s">
        <v>37</v>
      </c>
      <c r="C432" t="s">
        <v>48</v>
      </c>
      <c r="D432" s="206">
        <f t="shared" si="45"/>
        <v>31</v>
      </c>
      <c r="E432" s="210">
        <f>MACRO!I45</f>
        <v>0</v>
      </c>
      <c r="F432" s="14"/>
      <c r="G432" s="72" t="str">
        <f t="shared" si="43"/>
        <v/>
      </c>
      <c r="L432" s="209"/>
      <c r="N432" s="209"/>
    </row>
    <row r="433" spans="1:14" x14ac:dyDescent="0.25">
      <c r="A433" t="str">
        <f t="shared" si="44"/>
        <v>null</v>
      </c>
      <c r="B433" t="s">
        <v>37</v>
      </c>
      <c r="C433" s="16" t="s">
        <v>49</v>
      </c>
      <c r="D433" s="206">
        <f t="shared" si="45"/>
        <v>31</v>
      </c>
      <c r="E433" s="71">
        <f>ROUND(MACRO!$I$45,2)</f>
        <v>0</v>
      </c>
      <c r="G433" s="72" t="str">
        <f t="shared" si="43"/>
        <v/>
      </c>
      <c r="L433" s="209"/>
      <c r="N433" s="209"/>
    </row>
    <row r="434" spans="1:14" x14ac:dyDescent="0.25">
      <c r="A434" t="str">
        <f t="shared" si="44"/>
        <v>null</v>
      </c>
      <c r="B434" t="s">
        <v>37</v>
      </c>
      <c r="C434" t="s">
        <v>110</v>
      </c>
      <c r="D434" s="206">
        <f t="shared" si="45"/>
        <v>31</v>
      </c>
      <c r="E434" s="11">
        <f>MACRO!E45</f>
        <v>0</v>
      </c>
      <c r="G434" s="72" t="str">
        <f t="shared" si="43"/>
        <v/>
      </c>
      <c r="L434" s="209"/>
      <c r="N434" s="209"/>
    </row>
    <row r="435" spans="1:14" x14ac:dyDescent="0.25">
      <c r="A435" t="str">
        <f>A436</f>
        <v>null</v>
      </c>
      <c r="B435" t="s">
        <v>37</v>
      </c>
      <c r="C435" t="s">
        <v>38</v>
      </c>
      <c r="D435" s="206">
        <f t="shared" si="45"/>
        <v>32</v>
      </c>
      <c r="E435" s="215">
        <f>MACRO!A46</f>
        <v>32</v>
      </c>
      <c r="G435" s="72" t="str">
        <f t="shared" si="43"/>
        <v/>
      </c>
      <c r="L435" s="209"/>
      <c r="N435" s="209"/>
    </row>
    <row r="436" spans="1:14" x14ac:dyDescent="0.25">
      <c r="A436" t="str">
        <f>IF(E436&gt;0,"go","null")</f>
        <v>null</v>
      </c>
      <c r="B436" t="s">
        <v>37</v>
      </c>
      <c r="C436" t="s">
        <v>39</v>
      </c>
      <c r="D436" s="206">
        <f t="shared" si="45"/>
        <v>32</v>
      </c>
      <c r="E436" s="37">
        <f>MACRO!$B$46</f>
        <v>0</v>
      </c>
      <c r="G436" s="72" t="str">
        <f t="shared" si="43"/>
        <v/>
      </c>
      <c r="L436" s="209"/>
      <c r="N436" s="209"/>
    </row>
    <row r="437" spans="1:14" x14ac:dyDescent="0.25">
      <c r="A437" t="str">
        <f t="shared" ref="A437:A447" si="46">A436</f>
        <v>null</v>
      </c>
      <c r="B437" t="s">
        <v>37</v>
      </c>
      <c r="C437" t="s">
        <v>40</v>
      </c>
      <c r="D437" s="206">
        <f t="shared" si="45"/>
        <v>32</v>
      </c>
      <c r="E437" t="s">
        <v>54</v>
      </c>
      <c r="F437" s="14"/>
      <c r="G437" s="72" t="str">
        <f t="shared" si="43"/>
        <v/>
      </c>
      <c r="L437" s="209"/>
      <c r="N437" s="209"/>
    </row>
    <row r="438" spans="1:14" x14ac:dyDescent="0.25">
      <c r="A438" t="str">
        <f t="shared" si="46"/>
        <v>null</v>
      </c>
      <c r="B438" t="s">
        <v>37</v>
      </c>
      <c r="C438" t="s">
        <v>41</v>
      </c>
      <c r="D438" s="206">
        <f t="shared" si="45"/>
        <v>32</v>
      </c>
      <c r="E438" s="65">
        <f>MACRO!$C$46</f>
        <v>0</v>
      </c>
      <c r="G438" s="72" t="str">
        <f t="shared" si="43"/>
        <v/>
      </c>
      <c r="L438" s="209"/>
      <c r="N438" s="209"/>
    </row>
    <row r="439" spans="1:14" x14ac:dyDescent="0.25">
      <c r="A439" t="str">
        <f t="shared" si="46"/>
        <v>null</v>
      </c>
      <c r="B439" t="s">
        <v>37</v>
      </c>
      <c r="C439" t="s">
        <v>42</v>
      </c>
      <c r="D439" s="206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9"/>
      <c r="N439" s="209"/>
    </row>
    <row r="440" spans="1:14" x14ac:dyDescent="0.25">
      <c r="A440" t="str">
        <f t="shared" si="46"/>
        <v>null</v>
      </c>
      <c r="B440" t="s">
        <v>37</v>
      </c>
      <c r="C440" t="s">
        <v>43</v>
      </c>
      <c r="D440" s="206">
        <f t="shared" si="45"/>
        <v>32</v>
      </c>
      <c r="E440" s="211">
        <f>MACRO!$F$46</f>
        <v>0</v>
      </c>
      <c r="G440" s="72" t="str">
        <f t="shared" si="43"/>
        <v/>
      </c>
      <c r="L440" s="209"/>
      <c r="N440" s="209"/>
    </row>
    <row r="441" spans="1:14" x14ac:dyDescent="0.25">
      <c r="A441" t="str">
        <f t="shared" si="46"/>
        <v>null</v>
      </c>
      <c r="B441" t="s">
        <v>37</v>
      </c>
      <c r="C441" t="s">
        <v>44</v>
      </c>
      <c r="D441" s="206">
        <f t="shared" si="45"/>
        <v>32</v>
      </c>
      <c r="E441" s="212">
        <f>MACRO!$G$46</f>
        <v>0</v>
      </c>
      <c r="G441" s="72" t="str">
        <f t="shared" si="43"/>
        <v/>
      </c>
      <c r="L441" s="209"/>
      <c r="N441" s="209"/>
    </row>
    <row r="442" spans="1:14" x14ac:dyDescent="0.25">
      <c r="A442" t="str">
        <f t="shared" si="46"/>
        <v>null</v>
      </c>
      <c r="B442" t="s">
        <v>37</v>
      </c>
      <c r="C442" s="16" t="s">
        <v>45</v>
      </c>
      <c r="D442" s="206">
        <f t="shared" si="45"/>
        <v>32</v>
      </c>
      <c r="E442" s="71">
        <f>ROUND(MACRO!$J$46,2)</f>
        <v>0</v>
      </c>
      <c r="G442" s="72" t="str">
        <f t="shared" si="43"/>
        <v/>
      </c>
      <c r="L442" s="209"/>
      <c r="N442" s="209"/>
    </row>
    <row r="443" spans="1:14" x14ac:dyDescent="0.25">
      <c r="A443" t="str">
        <f t="shared" si="46"/>
        <v>null</v>
      </c>
      <c r="B443" t="s">
        <v>37</v>
      </c>
      <c r="C443" t="s">
        <v>46</v>
      </c>
      <c r="D443" s="206">
        <f t="shared" si="45"/>
        <v>32</v>
      </c>
      <c r="E443" s="1">
        <f>IF($E$41=10,1000,9996)</f>
        <v>1000</v>
      </c>
      <c r="F443" s="14"/>
      <c r="G443" s="72" t="str">
        <f t="shared" si="43"/>
        <v/>
      </c>
      <c r="L443" s="209"/>
      <c r="N443" s="209"/>
    </row>
    <row r="444" spans="1:14" x14ac:dyDescent="0.25">
      <c r="A444" t="str">
        <f t="shared" si="46"/>
        <v>null</v>
      </c>
      <c r="B444" t="s">
        <v>37</v>
      </c>
      <c r="C444" t="s">
        <v>47</v>
      </c>
      <c r="D444" s="206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9"/>
      <c r="N444" s="209"/>
    </row>
    <row r="445" spans="1:14" x14ac:dyDescent="0.25">
      <c r="A445" t="str">
        <f t="shared" si="46"/>
        <v>null</v>
      </c>
      <c r="B445" t="s">
        <v>37</v>
      </c>
      <c r="C445" t="s">
        <v>48</v>
      </c>
      <c r="D445" s="206">
        <f t="shared" si="45"/>
        <v>32</v>
      </c>
      <c r="E445" s="210">
        <f>MACRO!I46</f>
        <v>0</v>
      </c>
      <c r="F445" s="14"/>
      <c r="G445" s="72" t="str">
        <f t="shared" si="43"/>
        <v/>
      </c>
      <c r="L445" s="209"/>
      <c r="N445" s="209"/>
    </row>
    <row r="446" spans="1:14" x14ac:dyDescent="0.25">
      <c r="A446" t="str">
        <f t="shared" si="46"/>
        <v>null</v>
      </c>
      <c r="B446" t="s">
        <v>37</v>
      </c>
      <c r="C446" s="16" t="s">
        <v>49</v>
      </c>
      <c r="D446" s="206">
        <f t="shared" si="45"/>
        <v>32</v>
      </c>
      <c r="E446" s="71">
        <f>ROUND(MACRO!$I$46,2)</f>
        <v>0</v>
      </c>
      <c r="G446" s="72" t="str">
        <f t="shared" si="43"/>
        <v/>
      </c>
      <c r="L446" s="209"/>
      <c r="N446" s="209"/>
    </row>
    <row r="447" spans="1:14" x14ac:dyDescent="0.25">
      <c r="A447" t="str">
        <f t="shared" si="46"/>
        <v>null</v>
      </c>
      <c r="B447" t="s">
        <v>37</v>
      </c>
      <c r="C447" t="s">
        <v>110</v>
      </c>
      <c r="D447" s="206">
        <f t="shared" si="45"/>
        <v>32</v>
      </c>
      <c r="E447" s="11">
        <f>MACRO!E46</f>
        <v>0</v>
      </c>
      <c r="G447" s="72" t="str">
        <f t="shared" si="43"/>
        <v/>
      </c>
      <c r="L447" s="209"/>
      <c r="N447" s="209"/>
    </row>
    <row r="448" spans="1:14" x14ac:dyDescent="0.25">
      <c r="A448" t="str">
        <f>A449</f>
        <v>null</v>
      </c>
      <c r="B448" t="s">
        <v>37</v>
      </c>
      <c r="C448" t="s">
        <v>38</v>
      </c>
      <c r="D448" s="206">
        <f>IF(C448="NroLinDet",D447+1,D447)</f>
        <v>33</v>
      </c>
      <c r="E448" s="215">
        <f>MACRO!A47</f>
        <v>33</v>
      </c>
      <c r="G448" s="72" t="str">
        <f t="shared" si="43"/>
        <v/>
      </c>
      <c r="L448" s="209"/>
      <c r="N448" s="209"/>
    </row>
    <row r="449" spans="1:14" x14ac:dyDescent="0.25">
      <c r="A449" t="str">
        <f>IF(E449&gt;0,"go","null")</f>
        <v>null</v>
      </c>
      <c r="B449" t="s">
        <v>37</v>
      </c>
      <c r="C449" t="s">
        <v>39</v>
      </c>
      <c r="D449" s="206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9"/>
      <c r="N449" s="209"/>
    </row>
    <row r="450" spans="1:14" x14ac:dyDescent="0.25">
      <c r="A450" t="str">
        <f t="shared" ref="A450:A460" si="48">A449</f>
        <v>null</v>
      </c>
      <c r="B450" t="s">
        <v>37</v>
      </c>
      <c r="C450" t="s">
        <v>40</v>
      </c>
      <c r="D450" s="206">
        <f t="shared" si="47"/>
        <v>33</v>
      </c>
      <c r="E450" t="s">
        <v>54</v>
      </c>
      <c r="F450" s="14"/>
      <c r="G450" s="72" t="str">
        <f t="shared" si="43"/>
        <v/>
      </c>
      <c r="L450" s="209"/>
      <c r="N450" s="209"/>
    </row>
    <row r="451" spans="1:14" x14ac:dyDescent="0.25">
      <c r="A451" t="str">
        <f t="shared" si="48"/>
        <v>null</v>
      </c>
      <c r="B451" t="s">
        <v>37</v>
      </c>
      <c r="C451" t="s">
        <v>41</v>
      </c>
      <c r="D451" s="206">
        <f t="shared" si="47"/>
        <v>33</v>
      </c>
      <c r="E451" s="65">
        <f>MACRO!$C$47</f>
        <v>0</v>
      </c>
      <c r="G451" s="72" t="str">
        <f t="shared" si="43"/>
        <v/>
      </c>
      <c r="L451" s="209"/>
      <c r="N451" s="209"/>
    </row>
    <row r="452" spans="1:14" x14ac:dyDescent="0.25">
      <c r="A452" t="str">
        <f t="shared" si="48"/>
        <v>null</v>
      </c>
      <c r="B452" t="s">
        <v>37</v>
      </c>
      <c r="C452" t="s">
        <v>42</v>
      </c>
      <c r="D452" s="206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9"/>
      <c r="N452" s="209"/>
    </row>
    <row r="453" spans="1:14" x14ac:dyDescent="0.25">
      <c r="A453" t="str">
        <f t="shared" si="48"/>
        <v>null</v>
      </c>
      <c r="B453" t="s">
        <v>37</v>
      </c>
      <c r="C453" t="s">
        <v>43</v>
      </c>
      <c r="D453" s="206">
        <f t="shared" si="47"/>
        <v>33</v>
      </c>
      <c r="E453" s="211">
        <f>MACRO!$F$47</f>
        <v>0</v>
      </c>
      <c r="G453" s="72" t="str">
        <f t="shared" si="43"/>
        <v/>
      </c>
      <c r="L453" s="209"/>
      <c r="N453" s="209"/>
    </row>
    <row r="454" spans="1:14" x14ac:dyDescent="0.25">
      <c r="A454" t="str">
        <f t="shared" si="48"/>
        <v>null</v>
      </c>
      <c r="B454" t="s">
        <v>37</v>
      </c>
      <c r="C454" t="s">
        <v>44</v>
      </c>
      <c r="D454" s="206">
        <f t="shared" si="47"/>
        <v>33</v>
      </c>
      <c r="E454" s="212">
        <f>MACRO!$G$47</f>
        <v>0</v>
      </c>
      <c r="G454" s="72" t="str">
        <f t="shared" si="43"/>
        <v/>
      </c>
      <c r="L454" s="209"/>
      <c r="N454" s="209"/>
    </row>
    <row r="455" spans="1:14" x14ac:dyDescent="0.25">
      <c r="A455" t="str">
        <f t="shared" si="48"/>
        <v>null</v>
      </c>
      <c r="B455" t="s">
        <v>37</v>
      </c>
      <c r="C455" s="16" t="s">
        <v>45</v>
      </c>
      <c r="D455" s="206">
        <f t="shared" si="47"/>
        <v>33</v>
      </c>
      <c r="E455" s="71">
        <f>ROUND(MACRO!$J$47,2)</f>
        <v>0</v>
      </c>
      <c r="G455" s="72" t="str">
        <f t="shared" si="43"/>
        <v/>
      </c>
      <c r="L455" s="209"/>
      <c r="N455" s="209"/>
    </row>
    <row r="456" spans="1:14" x14ac:dyDescent="0.25">
      <c r="A456" t="str">
        <f t="shared" si="48"/>
        <v>null</v>
      </c>
      <c r="B456" t="s">
        <v>37</v>
      </c>
      <c r="C456" t="s">
        <v>46</v>
      </c>
      <c r="D456" s="206">
        <f t="shared" si="47"/>
        <v>33</v>
      </c>
      <c r="E456" s="1">
        <f>IF($E$41=10,1000,9996)</f>
        <v>1000</v>
      </c>
      <c r="F456" s="14"/>
      <c r="G456" s="72" t="str">
        <f t="shared" si="43"/>
        <v/>
      </c>
      <c r="L456" s="209"/>
      <c r="N456" s="209"/>
    </row>
    <row r="457" spans="1:14" x14ac:dyDescent="0.25">
      <c r="A457" t="str">
        <f t="shared" si="48"/>
        <v>null</v>
      </c>
      <c r="B457" t="s">
        <v>37</v>
      </c>
      <c r="C457" t="s">
        <v>47</v>
      </c>
      <c r="D457" s="206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9"/>
      <c r="N457" s="209"/>
    </row>
    <row r="458" spans="1:14" x14ac:dyDescent="0.25">
      <c r="A458" t="str">
        <f t="shared" si="48"/>
        <v>null</v>
      </c>
      <c r="B458" t="s">
        <v>37</v>
      </c>
      <c r="C458" t="s">
        <v>48</v>
      </c>
      <c r="D458" s="206">
        <f t="shared" si="47"/>
        <v>33</v>
      </c>
      <c r="E458" s="210">
        <f>MACRO!I47</f>
        <v>0</v>
      </c>
      <c r="F458" s="14"/>
      <c r="G458" s="72" t="str">
        <f t="shared" si="43"/>
        <v/>
      </c>
      <c r="L458" s="209"/>
      <c r="N458" s="209"/>
    </row>
    <row r="459" spans="1:14" x14ac:dyDescent="0.25">
      <c r="A459" t="str">
        <f t="shared" si="48"/>
        <v>null</v>
      </c>
      <c r="B459" t="s">
        <v>37</v>
      </c>
      <c r="C459" s="16" t="s">
        <v>49</v>
      </c>
      <c r="D459" s="206">
        <f t="shared" si="47"/>
        <v>33</v>
      </c>
      <c r="E459" s="71">
        <f>ROUND(MACRO!$I$47,2)</f>
        <v>0</v>
      </c>
      <c r="G459" s="72" t="str">
        <f t="shared" si="43"/>
        <v/>
      </c>
      <c r="L459" s="209"/>
      <c r="N459" s="209"/>
    </row>
    <row r="460" spans="1:14" x14ac:dyDescent="0.25">
      <c r="A460" t="str">
        <f t="shared" si="48"/>
        <v>null</v>
      </c>
      <c r="B460" t="s">
        <v>37</v>
      </c>
      <c r="C460" t="s">
        <v>110</v>
      </c>
      <c r="D460" s="206">
        <f t="shared" si="47"/>
        <v>33</v>
      </c>
      <c r="E460" s="11">
        <f>MACRO!E47</f>
        <v>0</v>
      </c>
      <c r="G460" s="72" t="str">
        <f t="shared" si="43"/>
        <v/>
      </c>
      <c r="L460" s="209"/>
      <c r="N460" s="209"/>
    </row>
    <row r="461" spans="1:14" x14ac:dyDescent="0.25">
      <c r="A461" t="str">
        <f>A462</f>
        <v>null</v>
      </c>
      <c r="B461" t="s">
        <v>37</v>
      </c>
      <c r="C461" t="s">
        <v>38</v>
      </c>
      <c r="D461" s="206">
        <f t="shared" si="47"/>
        <v>34</v>
      </c>
      <c r="E461" s="215">
        <f>MACRO!A48</f>
        <v>34</v>
      </c>
      <c r="G461" s="72" t="str">
        <f t="shared" si="43"/>
        <v/>
      </c>
      <c r="L461" s="209"/>
      <c r="N461" s="209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6">
        <f t="shared" si="47"/>
        <v>34</v>
      </c>
      <c r="E462" s="37">
        <f>MACRO!$B$48</f>
        <v>0</v>
      </c>
      <c r="G462" s="72" t="str">
        <f t="shared" si="43"/>
        <v/>
      </c>
      <c r="L462" s="209"/>
      <c r="N462" s="209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6">
        <f t="shared" si="47"/>
        <v>34</v>
      </c>
      <c r="E463" t="s">
        <v>54</v>
      </c>
      <c r="F463" s="14"/>
      <c r="G463" s="72" t="str">
        <f t="shared" si="43"/>
        <v/>
      </c>
      <c r="L463" s="209"/>
      <c r="N463" s="209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6">
        <f t="shared" si="47"/>
        <v>34</v>
      </c>
      <c r="E464" s="65">
        <f>MACRO!$C$48</f>
        <v>0</v>
      </c>
      <c r="G464" s="72" t="str">
        <f t="shared" si="43"/>
        <v/>
      </c>
      <c r="L464" s="209"/>
      <c r="N464" s="209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6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9"/>
      <c r="N465" s="209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6">
        <f t="shared" si="47"/>
        <v>34</v>
      </c>
      <c r="E466" s="211">
        <f>MACRO!$F$48</f>
        <v>0</v>
      </c>
      <c r="G466" s="72" t="str">
        <f t="shared" si="43"/>
        <v/>
      </c>
      <c r="L466" s="209"/>
      <c r="N466" s="209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6">
        <f t="shared" si="47"/>
        <v>34</v>
      </c>
      <c r="E467" s="212">
        <f>MACRO!$G$48</f>
        <v>0</v>
      </c>
      <c r="G467" s="72" t="str">
        <f t="shared" si="43"/>
        <v/>
      </c>
      <c r="L467" s="209"/>
      <c r="N467" s="209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6">
        <f t="shared" si="47"/>
        <v>34</v>
      </c>
      <c r="E468" s="71">
        <f>ROUND(MACRO!$J$48,2)</f>
        <v>0</v>
      </c>
      <c r="G468" s="72" t="str">
        <f t="shared" si="43"/>
        <v/>
      </c>
      <c r="L468" s="209"/>
      <c r="N468" s="209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6">
        <f t="shared" si="47"/>
        <v>34</v>
      </c>
      <c r="E469" s="1">
        <f>IF($E$41=10,1000,9996)</f>
        <v>1000</v>
      </c>
      <c r="F469" s="14"/>
      <c r="G469" s="72" t="str">
        <f t="shared" si="43"/>
        <v/>
      </c>
      <c r="L469" s="209"/>
      <c r="N469" s="209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6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9"/>
      <c r="N470" s="209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6">
        <f t="shared" si="47"/>
        <v>34</v>
      </c>
      <c r="E471" s="210">
        <f>MACRO!I48</f>
        <v>0</v>
      </c>
      <c r="F471" s="14"/>
      <c r="G471" s="72" t="str">
        <f t="shared" si="43"/>
        <v/>
      </c>
      <c r="L471" s="209"/>
      <c r="N471" s="209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6">
        <f t="shared" si="47"/>
        <v>34</v>
      </c>
      <c r="E472" s="71">
        <f>ROUND(MACRO!$I$48,2)</f>
        <v>0</v>
      </c>
      <c r="G472" s="72" t="str">
        <f t="shared" si="43"/>
        <v/>
      </c>
      <c r="L472" s="209"/>
      <c r="N472" s="209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6">
        <f t="shared" si="47"/>
        <v>34</v>
      </c>
      <c r="E473" s="11">
        <f>MACRO!E48</f>
        <v>0</v>
      </c>
      <c r="G473" s="72" t="str">
        <f t="shared" si="43"/>
        <v/>
      </c>
      <c r="L473" s="209"/>
      <c r="N473" s="209"/>
    </row>
    <row r="474" spans="1:14" x14ac:dyDescent="0.25">
      <c r="A474" t="str">
        <f>A475</f>
        <v>null</v>
      </c>
      <c r="B474" t="s">
        <v>37</v>
      </c>
      <c r="C474" t="s">
        <v>38</v>
      </c>
      <c r="D474" s="206">
        <f t="shared" si="47"/>
        <v>35</v>
      </c>
      <c r="E474" s="215">
        <f>MACRO!A49</f>
        <v>35</v>
      </c>
      <c r="G474" s="72" t="str">
        <f t="shared" si="43"/>
        <v/>
      </c>
      <c r="L474" s="209"/>
      <c r="N474" s="209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6">
        <f t="shared" si="47"/>
        <v>35</v>
      </c>
      <c r="E475" s="37">
        <f>MACRO!$B$49</f>
        <v>0</v>
      </c>
      <c r="G475" s="72" t="str">
        <f t="shared" si="43"/>
        <v/>
      </c>
      <c r="L475" s="209"/>
      <c r="N475" s="209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6">
        <f t="shared" si="47"/>
        <v>35</v>
      </c>
      <c r="E476" t="s">
        <v>54</v>
      </c>
      <c r="F476" s="14"/>
      <c r="G476" s="72" t="str">
        <f t="shared" si="43"/>
        <v/>
      </c>
      <c r="L476" s="209"/>
      <c r="N476" s="209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6">
        <f t="shared" si="47"/>
        <v>35</v>
      </c>
      <c r="E477" s="65">
        <f>MACRO!$C$49</f>
        <v>0</v>
      </c>
      <c r="G477" s="72" t="str">
        <f t="shared" si="43"/>
        <v/>
      </c>
      <c r="L477" s="209"/>
      <c r="N477" s="209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6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9"/>
      <c r="N478" s="209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6">
        <f t="shared" si="47"/>
        <v>35</v>
      </c>
      <c r="E479" s="211">
        <f>MACRO!$F$49</f>
        <v>0</v>
      </c>
      <c r="G479" s="72" t="str">
        <f t="shared" si="43"/>
        <v/>
      </c>
      <c r="L479" s="209"/>
      <c r="N479" s="209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6">
        <f t="shared" si="47"/>
        <v>35</v>
      </c>
      <c r="E480" s="212">
        <f>MACRO!$G$49</f>
        <v>0</v>
      </c>
      <c r="G480" s="72" t="str">
        <f t="shared" si="43"/>
        <v/>
      </c>
      <c r="L480" s="209"/>
      <c r="N480" s="209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6">
        <f t="shared" si="47"/>
        <v>35</v>
      </c>
      <c r="E481" s="71">
        <f>ROUND(MACRO!$J$49,2)</f>
        <v>0</v>
      </c>
      <c r="G481" s="72" t="str">
        <f t="shared" si="43"/>
        <v/>
      </c>
      <c r="L481" s="209"/>
      <c r="N481" s="209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6">
        <f t="shared" si="47"/>
        <v>35</v>
      </c>
      <c r="E482" s="1">
        <f>IF($E$41=10,1000,9996)</f>
        <v>1000</v>
      </c>
      <c r="F482" s="14"/>
      <c r="G482" s="72" t="str">
        <f t="shared" si="43"/>
        <v/>
      </c>
      <c r="L482" s="209"/>
      <c r="N482" s="209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6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9"/>
      <c r="N483" s="209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6">
        <f t="shared" si="47"/>
        <v>35</v>
      </c>
      <c r="E484" s="210">
        <f>MACRO!I49</f>
        <v>0</v>
      </c>
      <c r="F484" s="14"/>
      <c r="G484" s="72" t="str">
        <f t="shared" ref="G484:G547" si="51">IF($A484="go",CONCATENATE($B484,";",$C484,";",$D484,";",$E484),"")</f>
        <v/>
      </c>
      <c r="L484" s="209"/>
      <c r="N484" s="209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6">
        <f t="shared" si="47"/>
        <v>35</v>
      </c>
      <c r="E485" s="71">
        <f>ROUND(MACRO!$I$49,2)</f>
        <v>0</v>
      </c>
      <c r="G485" s="72" t="str">
        <f t="shared" si="51"/>
        <v/>
      </c>
      <c r="L485" s="209"/>
      <c r="N485" s="209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6">
        <f t="shared" si="47"/>
        <v>35</v>
      </c>
      <c r="E486" s="11">
        <f>MACRO!E49</f>
        <v>0</v>
      </c>
      <c r="G486" s="72" t="str">
        <f t="shared" si="51"/>
        <v/>
      </c>
      <c r="L486" s="209"/>
      <c r="N486" s="209"/>
    </row>
    <row r="487" spans="1:14" x14ac:dyDescent="0.25">
      <c r="A487" t="str">
        <f>A488</f>
        <v>null</v>
      </c>
      <c r="B487" t="s">
        <v>37</v>
      </c>
      <c r="C487" t="s">
        <v>38</v>
      </c>
      <c r="D487" s="206">
        <f t="shared" si="47"/>
        <v>36</v>
      </c>
      <c r="E487" s="215">
        <f>MACRO!A50</f>
        <v>36</v>
      </c>
      <c r="G487" s="72" t="str">
        <f t="shared" si="51"/>
        <v/>
      </c>
      <c r="L487" s="209"/>
      <c r="N487" s="209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6">
        <f t="shared" si="47"/>
        <v>36</v>
      </c>
      <c r="E488" s="37">
        <f>MACRO!$B$50</f>
        <v>0</v>
      </c>
      <c r="G488" s="72" t="str">
        <f t="shared" si="51"/>
        <v/>
      </c>
      <c r="L488" s="209"/>
      <c r="N488" s="209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6">
        <f t="shared" si="47"/>
        <v>36</v>
      </c>
      <c r="E489" t="s">
        <v>54</v>
      </c>
      <c r="F489" s="14"/>
      <c r="G489" s="72" t="str">
        <f t="shared" si="51"/>
        <v/>
      </c>
      <c r="L489" s="209"/>
      <c r="N489" s="209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6">
        <f t="shared" si="47"/>
        <v>36</v>
      </c>
      <c r="E490" s="65">
        <f>MACRO!$C$50</f>
        <v>0</v>
      </c>
      <c r="G490" s="72" t="str">
        <f t="shared" si="51"/>
        <v/>
      </c>
      <c r="L490" s="209"/>
      <c r="N490" s="209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6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9"/>
      <c r="N491" s="209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6">
        <f t="shared" si="47"/>
        <v>36</v>
      </c>
      <c r="E492" s="211">
        <f>MACRO!$F$50</f>
        <v>0</v>
      </c>
      <c r="G492" s="72" t="str">
        <f t="shared" si="51"/>
        <v/>
      </c>
      <c r="L492" s="209"/>
      <c r="N492" s="209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6">
        <f t="shared" si="47"/>
        <v>36</v>
      </c>
      <c r="E493" s="212">
        <f>MACRO!$G$50</f>
        <v>0</v>
      </c>
      <c r="G493" s="72" t="str">
        <f t="shared" si="51"/>
        <v/>
      </c>
      <c r="L493" s="209"/>
      <c r="N493" s="209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6">
        <f t="shared" si="47"/>
        <v>36</v>
      </c>
      <c r="E494" s="71">
        <f>ROUND(MACRO!$J$50,2)</f>
        <v>0</v>
      </c>
      <c r="G494" s="72" t="str">
        <f t="shared" si="51"/>
        <v/>
      </c>
      <c r="L494" s="209"/>
      <c r="N494" s="209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6">
        <f t="shared" si="47"/>
        <v>36</v>
      </c>
      <c r="E495" s="1">
        <f>IF($E$41=10,1000,9996)</f>
        <v>1000</v>
      </c>
      <c r="F495" s="14"/>
      <c r="G495" s="72" t="str">
        <f t="shared" si="51"/>
        <v/>
      </c>
      <c r="L495" s="209"/>
      <c r="N495" s="209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6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9"/>
      <c r="N496" s="209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6">
        <f t="shared" si="47"/>
        <v>36</v>
      </c>
      <c r="E497" s="210">
        <f>MACRO!I50</f>
        <v>0</v>
      </c>
      <c r="F497" s="14"/>
      <c r="G497" s="72" t="str">
        <f t="shared" si="51"/>
        <v/>
      </c>
      <c r="L497" s="209"/>
      <c r="N497" s="209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6">
        <f t="shared" si="47"/>
        <v>36</v>
      </c>
      <c r="E498" s="71">
        <f>ROUND(MACRO!$I$50,2)</f>
        <v>0</v>
      </c>
      <c r="G498" s="72" t="str">
        <f t="shared" si="51"/>
        <v/>
      </c>
      <c r="L498" s="209"/>
      <c r="N498" s="209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6">
        <f t="shared" si="47"/>
        <v>36</v>
      </c>
      <c r="E499" s="11">
        <f>MACRO!E50</f>
        <v>0</v>
      </c>
      <c r="G499" s="72" t="str">
        <f t="shared" si="51"/>
        <v/>
      </c>
      <c r="L499" s="209"/>
      <c r="N499" s="209"/>
    </row>
    <row r="500" spans="1:14" x14ac:dyDescent="0.25">
      <c r="A500" t="str">
        <f>A501</f>
        <v>null</v>
      </c>
      <c r="B500" t="s">
        <v>37</v>
      </c>
      <c r="C500" t="s">
        <v>38</v>
      </c>
      <c r="D500" s="206">
        <f t="shared" si="47"/>
        <v>37</v>
      </c>
      <c r="E500" s="215">
        <f>MACRO!A51</f>
        <v>37</v>
      </c>
      <c r="G500" s="72" t="str">
        <f t="shared" si="51"/>
        <v/>
      </c>
      <c r="L500" s="209"/>
      <c r="N500" s="209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6">
        <f t="shared" si="47"/>
        <v>37</v>
      </c>
      <c r="E501" s="37">
        <f>MACRO!$B$51</f>
        <v>0</v>
      </c>
      <c r="G501" s="72" t="str">
        <f t="shared" si="51"/>
        <v/>
      </c>
      <c r="L501" s="209"/>
      <c r="N501" s="209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6">
        <f t="shared" si="47"/>
        <v>37</v>
      </c>
      <c r="E502" t="s">
        <v>54</v>
      </c>
      <c r="F502" s="14"/>
      <c r="G502" s="72" t="str">
        <f t="shared" si="51"/>
        <v/>
      </c>
      <c r="L502" s="209"/>
      <c r="N502" s="209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6">
        <f t="shared" si="47"/>
        <v>37</v>
      </c>
      <c r="E503" s="65">
        <f>MACRO!$C$51</f>
        <v>0</v>
      </c>
      <c r="G503" s="72" t="str">
        <f t="shared" si="51"/>
        <v/>
      </c>
      <c r="L503" s="209"/>
      <c r="N503" s="209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6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9"/>
      <c r="N504" s="209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6">
        <f t="shared" si="47"/>
        <v>37</v>
      </c>
      <c r="E505" s="211">
        <f>MACRO!$F$51</f>
        <v>0</v>
      </c>
      <c r="G505" s="72" t="str">
        <f t="shared" si="51"/>
        <v/>
      </c>
      <c r="L505" s="209"/>
      <c r="N505" s="209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6">
        <f t="shared" si="47"/>
        <v>37</v>
      </c>
      <c r="E506" s="212">
        <f>MACRO!$G$51</f>
        <v>0</v>
      </c>
      <c r="G506" s="72" t="str">
        <f t="shared" si="51"/>
        <v/>
      </c>
      <c r="L506" s="209"/>
      <c r="N506" s="209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6">
        <f t="shared" si="47"/>
        <v>37</v>
      </c>
      <c r="E507" s="71">
        <f>ROUND(MACRO!$J$51,2)</f>
        <v>0</v>
      </c>
      <c r="G507" s="72" t="str">
        <f t="shared" si="51"/>
        <v/>
      </c>
      <c r="L507" s="209"/>
      <c r="N507" s="209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6">
        <f t="shared" si="47"/>
        <v>37</v>
      </c>
      <c r="E508" s="1">
        <f>IF($E$41=10,1000,9996)</f>
        <v>1000</v>
      </c>
      <c r="F508" s="14"/>
      <c r="G508" s="72" t="str">
        <f t="shared" si="51"/>
        <v/>
      </c>
      <c r="L508" s="209"/>
      <c r="N508" s="209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6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9"/>
      <c r="N509" s="209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6">
        <f t="shared" si="47"/>
        <v>37</v>
      </c>
      <c r="E510" s="210">
        <f>MACRO!I51</f>
        <v>0</v>
      </c>
      <c r="F510" s="14"/>
      <c r="G510" s="72" t="str">
        <f t="shared" si="51"/>
        <v/>
      </c>
      <c r="L510" s="209"/>
      <c r="N510" s="209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6">
        <f t="shared" si="47"/>
        <v>37</v>
      </c>
      <c r="E511" s="71">
        <f>ROUND(MACRO!$I$51,2)</f>
        <v>0</v>
      </c>
      <c r="G511" s="72" t="str">
        <f t="shared" si="51"/>
        <v/>
      </c>
      <c r="L511" s="209"/>
      <c r="N511" s="209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6">
        <f t="shared" si="47"/>
        <v>37</v>
      </c>
      <c r="E512" s="11">
        <f>MACRO!E51</f>
        <v>0</v>
      </c>
      <c r="G512" s="72" t="str">
        <f t="shared" si="51"/>
        <v/>
      </c>
      <c r="L512" s="209"/>
      <c r="N512" s="209"/>
    </row>
    <row r="513" spans="1:14" x14ac:dyDescent="0.25">
      <c r="A513" t="str">
        <f>A514</f>
        <v>null</v>
      </c>
      <c r="B513" t="s">
        <v>37</v>
      </c>
      <c r="C513" t="s">
        <v>38</v>
      </c>
      <c r="D513" s="206">
        <f t="shared" ref="D513:D576" si="54">IF(C513="NroLinDet",D512+1,D512)</f>
        <v>38</v>
      </c>
      <c r="E513" s="215">
        <f>MACRO!A52</f>
        <v>38</v>
      </c>
      <c r="G513" s="72" t="str">
        <f t="shared" si="51"/>
        <v/>
      </c>
      <c r="L513" s="209"/>
      <c r="N513" s="209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6">
        <f t="shared" si="54"/>
        <v>38</v>
      </c>
      <c r="E514" s="37">
        <f>MACRO!$B$52</f>
        <v>0</v>
      </c>
      <c r="G514" s="72" t="str">
        <f t="shared" si="51"/>
        <v/>
      </c>
      <c r="L514" s="209"/>
      <c r="N514" s="209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6">
        <f t="shared" si="54"/>
        <v>38</v>
      </c>
      <c r="E515" t="s">
        <v>54</v>
      </c>
      <c r="F515" s="14"/>
      <c r="G515" s="72" t="str">
        <f t="shared" si="51"/>
        <v/>
      </c>
      <c r="L515" s="209"/>
      <c r="N515" s="209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6">
        <f t="shared" si="54"/>
        <v>38</v>
      </c>
      <c r="E516" s="65">
        <f>MACRO!$C$52</f>
        <v>0</v>
      </c>
      <c r="G516" s="72" t="str">
        <f t="shared" si="51"/>
        <v/>
      </c>
      <c r="L516" s="209"/>
      <c r="N516" s="209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6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9"/>
      <c r="N517" s="209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6">
        <f t="shared" si="54"/>
        <v>38</v>
      </c>
      <c r="E518" s="211">
        <f>MACRO!$F$52</f>
        <v>0</v>
      </c>
      <c r="G518" s="72" t="str">
        <f t="shared" si="51"/>
        <v/>
      </c>
      <c r="L518" s="209"/>
      <c r="N518" s="209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6">
        <f t="shared" si="54"/>
        <v>38</v>
      </c>
      <c r="E519" s="212">
        <f>MACRO!$G$52</f>
        <v>0</v>
      </c>
      <c r="G519" s="72" t="str">
        <f t="shared" si="51"/>
        <v/>
      </c>
      <c r="L519" s="209"/>
      <c r="N519" s="209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6">
        <f t="shared" si="54"/>
        <v>38</v>
      </c>
      <c r="E520" s="71">
        <f>ROUND(MACRO!$J$52,2)</f>
        <v>0</v>
      </c>
      <c r="G520" s="72" t="str">
        <f t="shared" si="51"/>
        <v/>
      </c>
      <c r="L520" s="209"/>
      <c r="N520" s="209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6">
        <f t="shared" si="54"/>
        <v>38</v>
      </c>
      <c r="E521" s="1">
        <f>IF($E$41=10,1000,9996)</f>
        <v>1000</v>
      </c>
      <c r="F521" s="14"/>
      <c r="G521" s="72" t="str">
        <f t="shared" si="51"/>
        <v/>
      </c>
      <c r="L521" s="209"/>
      <c r="N521" s="209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6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9"/>
      <c r="N522" s="209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6">
        <f t="shared" si="54"/>
        <v>38</v>
      </c>
      <c r="E523" s="210">
        <f>MACRO!I52</f>
        <v>0</v>
      </c>
      <c r="F523" s="14"/>
      <c r="G523" s="72" t="str">
        <f t="shared" si="51"/>
        <v/>
      </c>
      <c r="L523" s="209"/>
      <c r="N523" s="209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6">
        <f t="shared" si="54"/>
        <v>38</v>
      </c>
      <c r="E524" s="71">
        <f>ROUND(MACRO!$I$52,2)</f>
        <v>0</v>
      </c>
      <c r="G524" s="72" t="str">
        <f t="shared" si="51"/>
        <v/>
      </c>
      <c r="L524" s="209"/>
      <c r="N524" s="209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6">
        <f t="shared" si="54"/>
        <v>38</v>
      </c>
      <c r="E525" s="11">
        <f>MACRO!E52</f>
        <v>0</v>
      </c>
      <c r="G525" s="72" t="str">
        <f t="shared" si="51"/>
        <v/>
      </c>
      <c r="L525" s="209"/>
      <c r="N525" s="209"/>
    </row>
    <row r="526" spans="1:14" x14ac:dyDescent="0.25">
      <c r="A526" t="str">
        <f>A527</f>
        <v>null</v>
      </c>
      <c r="B526" t="s">
        <v>37</v>
      </c>
      <c r="C526" t="s">
        <v>38</v>
      </c>
      <c r="D526" s="206">
        <f t="shared" si="54"/>
        <v>39</v>
      </c>
      <c r="E526" s="215">
        <f>MACRO!A53</f>
        <v>39</v>
      </c>
      <c r="G526" s="72" t="str">
        <f t="shared" si="51"/>
        <v/>
      </c>
      <c r="L526" s="209"/>
      <c r="N526" s="209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6">
        <f t="shared" si="54"/>
        <v>39</v>
      </c>
      <c r="E527" s="37">
        <f>MACRO!$B$53</f>
        <v>0</v>
      </c>
      <c r="G527" s="72" t="str">
        <f t="shared" si="51"/>
        <v/>
      </c>
      <c r="L527" s="209"/>
      <c r="N527" s="209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6">
        <f t="shared" si="54"/>
        <v>39</v>
      </c>
      <c r="E528" t="s">
        <v>54</v>
      </c>
      <c r="F528" s="14"/>
      <c r="G528" s="72" t="str">
        <f t="shared" si="51"/>
        <v/>
      </c>
      <c r="L528" s="209"/>
      <c r="N528" s="209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6">
        <f t="shared" si="54"/>
        <v>39</v>
      </c>
      <c r="E529" s="65">
        <f>MACRO!$C$53</f>
        <v>0</v>
      </c>
      <c r="G529" s="72" t="str">
        <f t="shared" si="51"/>
        <v/>
      </c>
      <c r="L529" s="209"/>
      <c r="N529" s="209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6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9"/>
      <c r="N530" s="209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6">
        <f t="shared" si="54"/>
        <v>39</v>
      </c>
      <c r="E531" s="211">
        <f>MACRO!$F$53</f>
        <v>0</v>
      </c>
      <c r="G531" s="72" t="str">
        <f t="shared" si="51"/>
        <v/>
      </c>
      <c r="L531" s="209"/>
      <c r="N531" s="209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6">
        <f t="shared" si="54"/>
        <v>39</v>
      </c>
      <c r="E532" s="212">
        <f>MACRO!$G$53</f>
        <v>0</v>
      </c>
      <c r="G532" s="72" t="str">
        <f t="shared" si="51"/>
        <v/>
      </c>
      <c r="L532" s="209"/>
      <c r="N532" s="209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6">
        <f t="shared" si="54"/>
        <v>39</v>
      </c>
      <c r="E533" s="71">
        <f>ROUND(MACRO!$J$53,2)</f>
        <v>0</v>
      </c>
      <c r="G533" s="72" t="str">
        <f t="shared" si="51"/>
        <v/>
      </c>
      <c r="L533" s="209"/>
      <c r="N533" s="209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6">
        <f t="shared" si="54"/>
        <v>39</v>
      </c>
      <c r="E534" s="1">
        <f>IF($E$41=10,1000,9996)</f>
        <v>1000</v>
      </c>
      <c r="F534" s="14"/>
      <c r="G534" s="72" t="str">
        <f t="shared" si="51"/>
        <v/>
      </c>
      <c r="L534" s="209"/>
      <c r="N534" s="209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6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9"/>
      <c r="N535" s="209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6">
        <f t="shared" si="54"/>
        <v>39</v>
      </c>
      <c r="E536" s="210">
        <f>MACRO!I53</f>
        <v>0</v>
      </c>
      <c r="F536" s="14"/>
      <c r="G536" s="72" t="str">
        <f t="shared" si="51"/>
        <v/>
      </c>
      <c r="L536" s="209"/>
      <c r="N536" s="209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6">
        <f t="shared" si="54"/>
        <v>39</v>
      </c>
      <c r="E537" s="71">
        <f>ROUND(MACRO!$I$53,2)</f>
        <v>0</v>
      </c>
      <c r="G537" s="72" t="str">
        <f t="shared" si="51"/>
        <v/>
      </c>
      <c r="L537" s="209"/>
      <c r="N537" s="209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6">
        <f t="shared" si="54"/>
        <v>39</v>
      </c>
      <c r="E538" s="11">
        <f>MACRO!E53</f>
        <v>0</v>
      </c>
      <c r="G538" s="72" t="str">
        <f t="shared" si="51"/>
        <v/>
      </c>
      <c r="L538" s="209"/>
      <c r="N538" s="209"/>
    </row>
    <row r="539" spans="1:14" x14ac:dyDescent="0.25">
      <c r="A539" t="str">
        <f>A540</f>
        <v>null</v>
      </c>
      <c r="B539" t="s">
        <v>37</v>
      </c>
      <c r="C539" t="s">
        <v>38</v>
      </c>
      <c r="D539" s="206">
        <f t="shared" si="54"/>
        <v>40</v>
      </c>
      <c r="E539" s="215">
        <f>MACRO!A54</f>
        <v>40</v>
      </c>
      <c r="G539" s="72" t="str">
        <f t="shared" si="51"/>
        <v/>
      </c>
      <c r="L539" s="209"/>
      <c r="N539" s="209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6">
        <f t="shared" si="54"/>
        <v>40</v>
      </c>
      <c r="E540" s="37">
        <f>MACRO!$B$54</f>
        <v>0</v>
      </c>
      <c r="G540" s="72" t="str">
        <f t="shared" si="51"/>
        <v/>
      </c>
      <c r="L540" s="209"/>
      <c r="N540" s="209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6">
        <f t="shared" si="54"/>
        <v>40</v>
      </c>
      <c r="E541" t="s">
        <v>54</v>
      </c>
      <c r="F541" s="14"/>
      <c r="G541" s="72" t="str">
        <f t="shared" si="51"/>
        <v/>
      </c>
      <c r="L541" s="209"/>
      <c r="N541" s="209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6">
        <f t="shared" si="54"/>
        <v>40</v>
      </c>
      <c r="E542" s="65">
        <f>MACRO!$C$54</f>
        <v>0</v>
      </c>
      <c r="G542" s="72" t="str">
        <f t="shared" si="51"/>
        <v/>
      </c>
      <c r="L542" s="209"/>
      <c r="N542" s="209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6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9"/>
      <c r="N543" s="209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6">
        <f t="shared" si="54"/>
        <v>40</v>
      </c>
      <c r="E544" s="211">
        <f>MACRO!$F$54</f>
        <v>0</v>
      </c>
      <c r="G544" s="72" t="str">
        <f t="shared" si="51"/>
        <v/>
      </c>
      <c r="L544" s="209"/>
      <c r="N544" s="209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6">
        <f t="shared" si="54"/>
        <v>40</v>
      </c>
      <c r="E545" s="212">
        <f>MACRO!$G$54</f>
        <v>0</v>
      </c>
      <c r="G545" s="72" t="str">
        <f t="shared" si="51"/>
        <v/>
      </c>
      <c r="L545" s="209"/>
      <c r="N545" s="209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6">
        <f t="shared" si="54"/>
        <v>40</v>
      </c>
      <c r="E546" s="71">
        <f>ROUND(MACRO!$J$54,2)</f>
        <v>0</v>
      </c>
      <c r="G546" s="72" t="str">
        <f t="shared" si="51"/>
        <v/>
      </c>
      <c r="L546" s="209"/>
      <c r="N546" s="209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6">
        <f t="shared" si="54"/>
        <v>40</v>
      </c>
      <c r="E547" s="1">
        <f>IF($E$41=10,1000,9996)</f>
        <v>1000</v>
      </c>
      <c r="F547" s="14"/>
      <c r="G547" s="72" t="str">
        <f t="shared" si="51"/>
        <v/>
      </c>
      <c r="L547" s="209"/>
      <c r="N547" s="209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6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9"/>
      <c r="N548" s="209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6">
        <f t="shared" si="54"/>
        <v>40</v>
      </c>
      <c r="E549" s="210">
        <f>MACRO!I54</f>
        <v>0</v>
      </c>
      <c r="F549" s="14"/>
      <c r="G549" s="72" t="str">
        <f t="shared" si="58"/>
        <v/>
      </c>
      <c r="L549" s="209"/>
      <c r="N549" s="209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6">
        <f t="shared" si="54"/>
        <v>40</v>
      </c>
      <c r="E550" s="71">
        <f>ROUND(MACRO!$I$54,2)</f>
        <v>0</v>
      </c>
      <c r="G550" s="72" t="str">
        <f t="shared" si="58"/>
        <v/>
      </c>
      <c r="L550" s="209"/>
      <c r="N550" s="209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6">
        <f t="shared" si="54"/>
        <v>40</v>
      </c>
      <c r="E551" s="11">
        <f>MACRO!E54</f>
        <v>0</v>
      </c>
      <c r="G551" s="72" t="str">
        <f t="shared" si="58"/>
        <v/>
      </c>
      <c r="L551" s="209"/>
      <c r="N551" s="209"/>
    </row>
    <row r="552" spans="1:14" x14ac:dyDescent="0.25">
      <c r="A552" t="str">
        <f>A553</f>
        <v>null</v>
      </c>
      <c r="B552" t="s">
        <v>37</v>
      </c>
      <c r="C552" t="s">
        <v>38</v>
      </c>
      <c r="D552" s="206">
        <f t="shared" si="54"/>
        <v>41</v>
      </c>
      <c r="E552" s="215">
        <f>MACRO!A55</f>
        <v>41</v>
      </c>
      <c r="G552" s="72" t="str">
        <f t="shared" si="58"/>
        <v/>
      </c>
      <c r="L552" s="209"/>
      <c r="N552" s="209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6">
        <f t="shared" si="54"/>
        <v>41</v>
      </c>
      <c r="E553" s="37">
        <f>MACRO!$B$55</f>
        <v>0</v>
      </c>
      <c r="G553" s="72" t="str">
        <f t="shared" si="58"/>
        <v/>
      </c>
      <c r="L553" s="209"/>
      <c r="N553" s="209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6">
        <f t="shared" si="54"/>
        <v>41</v>
      </c>
      <c r="E554" t="s">
        <v>54</v>
      </c>
      <c r="F554" s="14"/>
      <c r="G554" s="72" t="str">
        <f t="shared" si="58"/>
        <v/>
      </c>
      <c r="L554" s="209"/>
      <c r="N554" s="209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6">
        <f t="shared" si="54"/>
        <v>41</v>
      </c>
      <c r="E555" s="65">
        <f>MACRO!$C$55</f>
        <v>0</v>
      </c>
      <c r="G555" s="72" t="str">
        <f t="shared" si="58"/>
        <v/>
      </c>
      <c r="L555" s="209"/>
      <c r="N555" s="209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6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9"/>
      <c r="N556" s="209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6">
        <f t="shared" si="54"/>
        <v>41</v>
      </c>
      <c r="E557" s="211">
        <f>MACRO!$F$55</f>
        <v>0</v>
      </c>
      <c r="G557" s="72" t="str">
        <f t="shared" si="58"/>
        <v/>
      </c>
      <c r="L557" s="209"/>
      <c r="N557" s="209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6">
        <f t="shared" si="54"/>
        <v>41</v>
      </c>
      <c r="E558" s="212">
        <f>MACRO!$G$55</f>
        <v>0</v>
      </c>
      <c r="G558" s="72" t="str">
        <f t="shared" si="58"/>
        <v/>
      </c>
      <c r="L558" s="209"/>
      <c r="N558" s="209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6">
        <f t="shared" si="54"/>
        <v>41</v>
      </c>
      <c r="E559" s="71">
        <f>ROUND(MACRO!$J$55,2)</f>
        <v>0</v>
      </c>
      <c r="G559" s="72" t="str">
        <f t="shared" si="58"/>
        <v/>
      </c>
      <c r="L559" s="209"/>
      <c r="N559" s="209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6">
        <f t="shared" si="54"/>
        <v>41</v>
      </c>
      <c r="E560" s="1">
        <f>IF($E$41=10,1000,9996)</f>
        <v>1000</v>
      </c>
      <c r="F560" s="14"/>
      <c r="G560" s="72" t="str">
        <f t="shared" si="58"/>
        <v/>
      </c>
      <c r="L560" s="209"/>
      <c r="N560" s="209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6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9"/>
      <c r="N561" s="209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6">
        <f t="shared" si="54"/>
        <v>41</v>
      </c>
      <c r="E562" s="210">
        <f>MACRO!I55</f>
        <v>0</v>
      </c>
      <c r="F562" s="14"/>
      <c r="G562" s="72" t="str">
        <f t="shared" si="58"/>
        <v/>
      </c>
      <c r="L562" s="209"/>
      <c r="N562" s="209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6">
        <f t="shared" si="54"/>
        <v>41</v>
      </c>
      <c r="E563" s="71">
        <f>ROUND(MACRO!$I$55,2)</f>
        <v>0</v>
      </c>
      <c r="G563" s="72" t="str">
        <f t="shared" si="58"/>
        <v/>
      </c>
      <c r="L563" s="209"/>
      <c r="N563" s="209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6">
        <f t="shared" si="54"/>
        <v>41</v>
      </c>
      <c r="E564" s="11">
        <f>MACRO!E55</f>
        <v>0</v>
      </c>
      <c r="G564" s="72" t="str">
        <f t="shared" si="58"/>
        <v/>
      </c>
      <c r="L564" s="209"/>
      <c r="N564" s="209"/>
    </row>
    <row r="565" spans="1:14" x14ac:dyDescent="0.25">
      <c r="A565" t="str">
        <f>A566</f>
        <v>null</v>
      </c>
      <c r="B565" t="s">
        <v>37</v>
      </c>
      <c r="C565" t="s">
        <v>38</v>
      </c>
      <c r="D565" s="206">
        <f t="shared" si="54"/>
        <v>42</v>
      </c>
      <c r="E565" s="215">
        <f>MACRO!A56</f>
        <v>42</v>
      </c>
      <c r="G565" s="72" t="str">
        <f t="shared" si="58"/>
        <v/>
      </c>
      <c r="L565" s="209"/>
      <c r="N565" s="209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6">
        <f t="shared" si="54"/>
        <v>42</v>
      </c>
      <c r="E566" s="37">
        <f>MACRO!$B$56</f>
        <v>0</v>
      </c>
      <c r="G566" s="72" t="str">
        <f t="shared" si="58"/>
        <v/>
      </c>
      <c r="L566" s="209"/>
      <c r="N566" s="209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6">
        <f t="shared" si="54"/>
        <v>42</v>
      </c>
      <c r="E567" t="s">
        <v>54</v>
      </c>
      <c r="F567" s="14"/>
      <c r="G567" s="72" t="str">
        <f t="shared" si="58"/>
        <v/>
      </c>
      <c r="L567" s="209"/>
      <c r="N567" s="209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6">
        <f t="shared" si="54"/>
        <v>42</v>
      </c>
      <c r="E568" s="65">
        <f>MACRO!$C$56</f>
        <v>0</v>
      </c>
      <c r="G568" s="72" t="str">
        <f t="shared" si="58"/>
        <v/>
      </c>
      <c r="L568" s="209"/>
      <c r="N568" s="209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6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9"/>
      <c r="N569" s="209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6">
        <f t="shared" si="54"/>
        <v>42</v>
      </c>
      <c r="E570" s="211">
        <f>MACRO!$F$56</f>
        <v>0</v>
      </c>
      <c r="G570" s="72" t="str">
        <f t="shared" si="58"/>
        <v/>
      </c>
      <c r="L570" s="209"/>
      <c r="N570" s="209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6">
        <f t="shared" si="54"/>
        <v>42</v>
      </c>
      <c r="E571" s="212">
        <f>MACRO!$G$56</f>
        <v>0</v>
      </c>
      <c r="G571" s="72" t="str">
        <f t="shared" si="58"/>
        <v/>
      </c>
      <c r="L571" s="209"/>
      <c r="N571" s="209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6">
        <f t="shared" si="54"/>
        <v>42</v>
      </c>
      <c r="E572" s="71">
        <f>ROUND(MACRO!$J$56,2)</f>
        <v>0</v>
      </c>
      <c r="G572" s="72" t="str">
        <f t="shared" si="58"/>
        <v/>
      </c>
      <c r="L572" s="209"/>
      <c r="N572" s="209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6">
        <f t="shared" si="54"/>
        <v>42</v>
      </c>
      <c r="E573" s="1">
        <f>IF($E$41=10,1000,9996)</f>
        <v>1000</v>
      </c>
      <c r="F573" s="14"/>
      <c r="G573" s="72" t="str">
        <f t="shared" si="58"/>
        <v/>
      </c>
      <c r="L573" s="209"/>
      <c r="N573" s="209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6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9"/>
      <c r="N574" s="209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6">
        <f t="shared" si="54"/>
        <v>42</v>
      </c>
      <c r="E575" s="210">
        <f>MACRO!I56</f>
        <v>0</v>
      </c>
      <c r="F575" s="14"/>
      <c r="G575" s="72" t="str">
        <f t="shared" si="58"/>
        <v/>
      </c>
      <c r="L575" s="209"/>
      <c r="N575" s="209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6">
        <f t="shared" si="54"/>
        <v>42</v>
      </c>
      <c r="E576" s="71">
        <f>ROUND(MACRO!$I$56,2)</f>
        <v>0</v>
      </c>
      <c r="G576" s="72" t="str">
        <f t="shared" si="58"/>
        <v/>
      </c>
      <c r="L576" s="209"/>
      <c r="N576" s="209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6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9"/>
      <c r="N577" s="209"/>
    </row>
    <row r="578" spans="1:14" x14ac:dyDescent="0.25">
      <c r="A578" t="str">
        <f>A579</f>
        <v>null</v>
      </c>
      <c r="B578" t="s">
        <v>37</v>
      </c>
      <c r="C578" t="s">
        <v>38</v>
      </c>
      <c r="D578" s="206">
        <f t="shared" si="61"/>
        <v>43</v>
      </c>
      <c r="E578" s="215">
        <f>MACRO!A57</f>
        <v>43</v>
      </c>
      <c r="G578" s="72" t="str">
        <f t="shared" si="58"/>
        <v/>
      </c>
      <c r="L578" s="209"/>
      <c r="N578" s="209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6">
        <f t="shared" si="61"/>
        <v>43</v>
      </c>
      <c r="E579" s="37">
        <f>MACRO!$B$57</f>
        <v>0</v>
      </c>
      <c r="G579" s="72" t="str">
        <f t="shared" si="58"/>
        <v/>
      </c>
      <c r="L579" s="209"/>
      <c r="N579" s="209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6">
        <f t="shared" si="61"/>
        <v>43</v>
      </c>
      <c r="E580" t="s">
        <v>54</v>
      </c>
      <c r="F580" s="14"/>
      <c r="G580" s="72" t="str">
        <f t="shared" si="58"/>
        <v/>
      </c>
      <c r="L580" s="209"/>
      <c r="N580" s="209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6">
        <f t="shared" si="61"/>
        <v>43</v>
      </c>
      <c r="E581" s="65">
        <f>MACRO!$C$57</f>
        <v>0</v>
      </c>
      <c r="G581" s="72" t="str">
        <f t="shared" si="58"/>
        <v/>
      </c>
      <c r="L581" s="209"/>
      <c r="N581" s="209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6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9"/>
      <c r="N582" s="209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6">
        <f t="shared" si="61"/>
        <v>43</v>
      </c>
      <c r="E583" s="211">
        <f>MACRO!$F$57</f>
        <v>0</v>
      </c>
      <c r="G583" s="72" t="str">
        <f t="shared" si="58"/>
        <v/>
      </c>
      <c r="L583" s="209"/>
      <c r="N583" s="209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6">
        <f t="shared" si="61"/>
        <v>43</v>
      </c>
      <c r="E584" s="212">
        <f>MACRO!$G$57</f>
        <v>0</v>
      </c>
      <c r="G584" s="72" t="str">
        <f t="shared" si="58"/>
        <v/>
      </c>
      <c r="L584" s="209"/>
      <c r="N584" s="209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6">
        <f t="shared" si="61"/>
        <v>43</v>
      </c>
      <c r="E585" s="71">
        <f>ROUND(MACRO!$J$57,2)</f>
        <v>0</v>
      </c>
      <c r="G585" s="72" t="str">
        <f t="shared" si="58"/>
        <v/>
      </c>
      <c r="L585" s="209"/>
      <c r="N585" s="209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6">
        <f t="shared" si="61"/>
        <v>43</v>
      </c>
      <c r="E586" s="1">
        <f>IF($E$41=10,1000,9996)</f>
        <v>1000</v>
      </c>
      <c r="F586" s="14"/>
      <c r="G586" s="72" t="str">
        <f t="shared" si="58"/>
        <v/>
      </c>
      <c r="L586" s="209"/>
      <c r="N586" s="209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6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9"/>
      <c r="N587" s="209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6">
        <f t="shared" si="61"/>
        <v>43</v>
      </c>
      <c r="E588" s="210">
        <f>MACRO!I57</f>
        <v>0</v>
      </c>
      <c r="F588" s="14"/>
      <c r="G588" s="72" t="str">
        <f t="shared" si="58"/>
        <v/>
      </c>
      <c r="L588" s="209"/>
      <c r="N588" s="209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6">
        <f t="shared" si="61"/>
        <v>43</v>
      </c>
      <c r="E589" s="71">
        <f>ROUND(MACRO!$I$57,2)</f>
        <v>0</v>
      </c>
      <c r="G589" s="72" t="str">
        <f t="shared" si="58"/>
        <v/>
      </c>
      <c r="L589" s="209"/>
      <c r="N589" s="209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6">
        <f t="shared" si="61"/>
        <v>43</v>
      </c>
      <c r="E590" s="11">
        <f>MACRO!E57</f>
        <v>0</v>
      </c>
      <c r="G590" s="72" t="str">
        <f t="shared" si="58"/>
        <v/>
      </c>
      <c r="L590" s="209"/>
      <c r="N590" s="209"/>
    </row>
    <row r="591" spans="1:14" x14ac:dyDescent="0.25">
      <c r="A591" t="str">
        <f>A592</f>
        <v>null</v>
      </c>
      <c r="B591" t="s">
        <v>37</v>
      </c>
      <c r="C591" t="s">
        <v>38</v>
      </c>
      <c r="D591" s="206">
        <f t="shared" si="61"/>
        <v>44</v>
      </c>
      <c r="E591" s="215">
        <f>MACRO!A58</f>
        <v>44</v>
      </c>
      <c r="G591" s="72" t="str">
        <f t="shared" si="58"/>
        <v/>
      </c>
      <c r="L591" s="209"/>
      <c r="N591" s="209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6">
        <f t="shared" si="61"/>
        <v>44</v>
      </c>
      <c r="E592" s="37">
        <f>MACRO!$B$58</f>
        <v>0</v>
      </c>
      <c r="G592" s="72" t="str">
        <f t="shared" si="58"/>
        <v/>
      </c>
      <c r="L592" s="209"/>
      <c r="N592" s="209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6">
        <f t="shared" si="61"/>
        <v>44</v>
      </c>
      <c r="E593" t="s">
        <v>54</v>
      </c>
      <c r="F593" s="14"/>
      <c r="G593" s="72" t="str">
        <f t="shared" si="58"/>
        <v/>
      </c>
      <c r="L593" s="209"/>
      <c r="N593" s="209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6">
        <f t="shared" si="61"/>
        <v>44</v>
      </c>
      <c r="E594" s="65">
        <f>MACRO!$C$58</f>
        <v>0</v>
      </c>
      <c r="G594" s="72" t="str">
        <f t="shared" si="58"/>
        <v/>
      </c>
      <c r="L594" s="209"/>
      <c r="N594" s="209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6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9"/>
      <c r="N595" s="209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6">
        <f t="shared" si="61"/>
        <v>44</v>
      </c>
      <c r="E596" s="211">
        <f>MACRO!$F$58</f>
        <v>0</v>
      </c>
      <c r="G596" s="72" t="str">
        <f t="shared" si="58"/>
        <v/>
      </c>
      <c r="L596" s="209"/>
      <c r="N596" s="209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6">
        <f t="shared" si="61"/>
        <v>44</v>
      </c>
      <c r="E597" s="212">
        <f>MACRO!$G$58</f>
        <v>0</v>
      </c>
      <c r="G597" s="72" t="str">
        <f t="shared" si="58"/>
        <v/>
      </c>
      <c r="L597" s="209"/>
      <c r="N597" s="209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6">
        <f t="shared" si="61"/>
        <v>44</v>
      </c>
      <c r="E598" s="71">
        <f>ROUND(MACRO!$J$58,2)</f>
        <v>0</v>
      </c>
      <c r="G598" s="72" t="str">
        <f t="shared" si="58"/>
        <v/>
      </c>
      <c r="L598" s="209"/>
      <c r="N598" s="209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6">
        <f t="shared" si="61"/>
        <v>44</v>
      </c>
      <c r="E599" s="1">
        <f>IF($E$41=10,1000,9996)</f>
        <v>1000</v>
      </c>
      <c r="F599" s="14"/>
      <c r="G599" s="72" t="str">
        <f t="shared" si="58"/>
        <v/>
      </c>
      <c r="L599" s="209"/>
      <c r="N599" s="209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6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9"/>
      <c r="N600" s="209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6">
        <f t="shared" si="61"/>
        <v>44</v>
      </c>
      <c r="E601" s="210">
        <f>MACRO!I58</f>
        <v>0</v>
      </c>
      <c r="F601" s="14"/>
      <c r="G601" s="72" t="str">
        <f t="shared" si="58"/>
        <v/>
      </c>
      <c r="L601" s="209"/>
      <c r="N601" s="209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6">
        <f t="shared" si="61"/>
        <v>44</v>
      </c>
      <c r="E602" s="71">
        <f>ROUND(MACRO!$I$58,2)</f>
        <v>0</v>
      </c>
      <c r="G602" s="72" t="str">
        <f t="shared" si="58"/>
        <v/>
      </c>
      <c r="L602" s="209"/>
      <c r="N602" s="209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6">
        <f t="shared" si="61"/>
        <v>44</v>
      </c>
      <c r="E603" s="11">
        <f>MACRO!E58</f>
        <v>0</v>
      </c>
      <c r="G603" s="72" t="str">
        <f t="shared" si="58"/>
        <v/>
      </c>
      <c r="L603" s="209"/>
      <c r="N603" s="209"/>
    </row>
    <row r="604" spans="1:14" x14ac:dyDescent="0.25">
      <c r="A604" t="str">
        <f>A605</f>
        <v>null</v>
      </c>
      <c r="B604" t="s">
        <v>37</v>
      </c>
      <c r="C604" t="s">
        <v>38</v>
      </c>
      <c r="D604" s="206">
        <f t="shared" si="61"/>
        <v>45</v>
      </c>
      <c r="E604" s="215">
        <f>MACRO!A59</f>
        <v>45</v>
      </c>
      <c r="G604" s="72" t="str">
        <f t="shared" si="58"/>
        <v/>
      </c>
      <c r="L604" s="209"/>
      <c r="N604" s="209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6">
        <f t="shared" si="61"/>
        <v>45</v>
      </c>
      <c r="E605" s="37">
        <f>MACRO!$B$59</f>
        <v>0</v>
      </c>
      <c r="G605" s="72" t="str">
        <f t="shared" si="58"/>
        <v/>
      </c>
      <c r="L605" s="209"/>
      <c r="N605" s="209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6">
        <f t="shared" si="61"/>
        <v>45</v>
      </c>
      <c r="E606" t="s">
        <v>54</v>
      </c>
      <c r="F606" s="14"/>
      <c r="G606" s="72" t="str">
        <f t="shared" si="58"/>
        <v/>
      </c>
      <c r="L606" s="209"/>
      <c r="N606" s="209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6">
        <f t="shared" si="61"/>
        <v>45</v>
      </c>
      <c r="E607" s="65">
        <f>MACRO!$C$59</f>
        <v>0</v>
      </c>
      <c r="G607" s="72" t="str">
        <f t="shared" si="58"/>
        <v/>
      </c>
      <c r="L607" s="209"/>
      <c r="N607" s="209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6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9"/>
      <c r="N608" s="209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6">
        <f t="shared" si="61"/>
        <v>45</v>
      </c>
      <c r="E609" s="211">
        <f>MACRO!$F$59</f>
        <v>0</v>
      </c>
      <c r="G609" s="72" t="str">
        <f t="shared" si="58"/>
        <v/>
      </c>
      <c r="L609" s="209"/>
      <c r="N609" s="209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6">
        <f t="shared" si="61"/>
        <v>45</v>
      </c>
      <c r="E610" s="212">
        <f>MACRO!$G$59</f>
        <v>0</v>
      </c>
      <c r="G610" s="72" t="str">
        <f t="shared" si="58"/>
        <v/>
      </c>
      <c r="L610" s="209"/>
      <c r="N610" s="209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6">
        <f t="shared" si="61"/>
        <v>45</v>
      </c>
      <c r="E611" s="71">
        <f>ROUND(MACRO!$J$59,2)</f>
        <v>0</v>
      </c>
      <c r="G611" s="72" t="str">
        <f t="shared" si="58"/>
        <v/>
      </c>
      <c r="L611" s="209"/>
      <c r="N611" s="209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6">
        <f t="shared" si="61"/>
        <v>45</v>
      </c>
      <c r="E612" s="1">
        <f>IF($E$41=10,1000,9996)</f>
        <v>1000</v>
      </c>
      <c r="F612" s="14"/>
      <c r="G612" s="72" t="str">
        <f t="shared" ref="G612:G675" si="65">IF($A612="go",CONCATENATE($B612,";",$C612,";",$D612,";",$E612),"")</f>
        <v/>
      </c>
      <c r="L612" s="209"/>
      <c r="N612" s="209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6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9"/>
      <c r="N613" s="209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6">
        <f t="shared" si="61"/>
        <v>45</v>
      </c>
      <c r="E614" s="210">
        <f>MACRO!I59</f>
        <v>0</v>
      </c>
      <c r="F614" s="14"/>
      <c r="G614" s="72" t="str">
        <f t="shared" si="65"/>
        <v/>
      </c>
      <c r="L614" s="209"/>
      <c r="N614" s="209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6">
        <f t="shared" si="61"/>
        <v>45</v>
      </c>
      <c r="E615" s="71">
        <f>ROUND(MACRO!$I$59,2)</f>
        <v>0</v>
      </c>
      <c r="G615" s="72" t="str">
        <f t="shared" si="65"/>
        <v/>
      </c>
      <c r="L615" s="209"/>
      <c r="N615" s="209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6">
        <f t="shared" si="61"/>
        <v>45</v>
      </c>
      <c r="E616" s="11">
        <f>MACRO!E59</f>
        <v>0</v>
      </c>
      <c r="G616" s="72" t="str">
        <f t="shared" si="65"/>
        <v/>
      </c>
      <c r="L616" s="209"/>
      <c r="N616" s="209"/>
    </row>
    <row r="617" spans="1:14" x14ac:dyDescent="0.25">
      <c r="A617" t="str">
        <f>A618</f>
        <v>null</v>
      </c>
      <c r="B617" t="s">
        <v>37</v>
      </c>
      <c r="C617" t="s">
        <v>38</v>
      </c>
      <c r="D617" s="206">
        <f t="shared" si="61"/>
        <v>46</v>
      </c>
      <c r="E617" s="215">
        <f>MACRO!A60</f>
        <v>46</v>
      </c>
      <c r="G617" s="72" t="str">
        <f t="shared" si="65"/>
        <v/>
      </c>
      <c r="L617" s="209"/>
      <c r="N617" s="209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6">
        <f t="shared" si="61"/>
        <v>46</v>
      </c>
      <c r="E618" s="37">
        <f>MACRO!$B$60</f>
        <v>0</v>
      </c>
      <c r="G618" s="72" t="str">
        <f t="shared" si="65"/>
        <v/>
      </c>
      <c r="L618" s="209"/>
      <c r="N618" s="209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6">
        <f t="shared" si="61"/>
        <v>46</v>
      </c>
      <c r="E619" t="s">
        <v>54</v>
      </c>
      <c r="F619" s="14"/>
      <c r="G619" s="72" t="str">
        <f t="shared" si="65"/>
        <v/>
      </c>
      <c r="L619" s="209"/>
      <c r="N619" s="209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6">
        <f t="shared" si="61"/>
        <v>46</v>
      </c>
      <c r="E620" s="65">
        <f>MACRO!$C$60</f>
        <v>0</v>
      </c>
      <c r="G620" s="72" t="str">
        <f t="shared" si="65"/>
        <v/>
      </c>
      <c r="L620" s="209"/>
      <c r="N620" s="209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6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9"/>
      <c r="N621" s="209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6">
        <f t="shared" si="61"/>
        <v>46</v>
      </c>
      <c r="E622" s="211">
        <f>MACRO!$F$60</f>
        <v>0</v>
      </c>
      <c r="G622" s="72" t="str">
        <f t="shared" si="65"/>
        <v/>
      </c>
      <c r="L622" s="209"/>
      <c r="N622" s="209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6">
        <f t="shared" si="61"/>
        <v>46</v>
      </c>
      <c r="E623" s="212">
        <f>MACRO!$G$60</f>
        <v>0</v>
      </c>
      <c r="G623" s="72" t="str">
        <f t="shared" si="65"/>
        <v/>
      </c>
      <c r="L623" s="209"/>
      <c r="N623" s="209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6">
        <f t="shared" si="61"/>
        <v>46</v>
      </c>
      <c r="E624" s="71">
        <f>ROUND(MACRO!$J$60,2)</f>
        <v>0</v>
      </c>
      <c r="G624" s="72" t="str">
        <f t="shared" si="65"/>
        <v/>
      </c>
      <c r="L624" s="209"/>
      <c r="N624" s="209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6">
        <f t="shared" si="61"/>
        <v>46</v>
      </c>
      <c r="E625" s="1">
        <f>IF($E$41=10,1000,9996)</f>
        <v>1000</v>
      </c>
      <c r="F625" s="14"/>
      <c r="G625" s="72" t="str">
        <f t="shared" si="65"/>
        <v/>
      </c>
      <c r="L625" s="209"/>
      <c r="N625" s="209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6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9"/>
      <c r="N626" s="209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6">
        <f t="shared" si="61"/>
        <v>46</v>
      </c>
      <c r="E627" s="210">
        <f>MACRO!I60</f>
        <v>0</v>
      </c>
      <c r="F627" s="14"/>
      <c r="G627" s="72" t="str">
        <f t="shared" si="65"/>
        <v/>
      </c>
      <c r="L627" s="209"/>
      <c r="N627" s="209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6">
        <f t="shared" si="61"/>
        <v>46</v>
      </c>
      <c r="E628" s="71">
        <f>ROUND(MACRO!$I$60,2)</f>
        <v>0</v>
      </c>
      <c r="G628" s="72" t="str">
        <f t="shared" si="65"/>
        <v/>
      </c>
      <c r="L628" s="209"/>
      <c r="N628" s="209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6">
        <f t="shared" si="61"/>
        <v>46</v>
      </c>
      <c r="E629" s="11">
        <f>MACRO!E60</f>
        <v>0</v>
      </c>
      <c r="G629" s="72" t="str">
        <f t="shared" si="65"/>
        <v/>
      </c>
      <c r="L629" s="209"/>
      <c r="N629" s="209"/>
    </row>
    <row r="630" spans="1:14" x14ac:dyDescent="0.25">
      <c r="A630" t="str">
        <f>A631</f>
        <v>null</v>
      </c>
      <c r="B630" t="s">
        <v>37</v>
      </c>
      <c r="C630" t="s">
        <v>38</v>
      </c>
      <c r="D630" s="206">
        <f t="shared" si="61"/>
        <v>47</v>
      </c>
      <c r="E630" s="215">
        <f>MACRO!A61</f>
        <v>47</v>
      </c>
      <c r="G630" s="72" t="str">
        <f t="shared" si="65"/>
        <v/>
      </c>
      <c r="L630" s="209"/>
      <c r="N630" s="209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6">
        <f t="shared" si="61"/>
        <v>47</v>
      </c>
      <c r="E631" s="37">
        <f>MACRO!$B$61</f>
        <v>0</v>
      </c>
      <c r="G631" s="72" t="str">
        <f t="shared" si="65"/>
        <v/>
      </c>
      <c r="L631" s="209"/>
      <c r="N631" s="209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6">
        <f t="shared" si="61"/>
        <v>47</v>
      </c>
      <c r="E632" t="s">
        <v>54</v>
      </c>
      <c r="F632" s="14"/>
      <c r="G632" s="72" t="str">
        <f t="shared" si="65"/>
        <v/>
      </c>
      <c r="L632" s="209"/>
      <c r="N632" s="209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6">
        <f t="shared" si="61"/>
        <v>47</v>
      </c>
      <c r="E633" s="65">
        <f>MACRO!$C$61</f>
        <v>0</v>
      </c>
      <c r="G633" s="72" t="str">
        <f t="shared" si="65"/>
        <v/>
      </c>
      <c r="L633" s="209"/>
      <c r="N633" s="209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6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9"/>
      <c r="N634" s="209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6">
        <f t="shared" si="61"/>
        <v>47</v>
      </c>
      <c r="E635" s="211">
        <f>MACRO!$F$61</f>
        <v>0</v>
      </c>
      <c r="G635" s="72" t="str">
        <f t="shared" si="65"/>
        <v/>
      </c>
      <c r="L635" s="209"/>
      <c r="N635" s="209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6">
        <f t="shared" si="61"/>
        <v>47</v>
      </c>
      <c r="E636" s="212">
        <f>MACRO!$G$61</f>
        <v>0</v>
      </c>
      <c r="G636" s="72" t="str">
        <f t="shared" si="65"/>
        <v/>
      </c>
      <c r="L636" s="209"/>
      <c r="N636" s="209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6">
        <f t="shared" si="61"/>
        <v>47</v>
      </c>
      <c r="E637" s="71">
        <f>ROUND(MACRO!$J$61,2)</f>
        <v>0</v>
      </c>
      <c r="G637" s="72" t="str">
        <f t="shared" si="65"/>
        <v/>
      </c>
      <c r="L637" s="209"/>
      <c r="N637" s="209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6">
        <f t="shared" si="61"/>
        <v>47</v>
      </c>
      <c r="E638" s="1">
        <f>IF($E$41=10,1000,9996)</f>
        <v>1000</v>
      </c>
      <c r="F638" s="14"/>
      <c r="G638" s="72" t="str">
        <f t="shared" si="65"/>
        <v/>
      </c>
      <c r="L638" s="209"/>
      <c r="N638" s="209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6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9"/>
      <c r="N639" s="209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6">
        <f t="shared" si="61"/>
        <v>47</v>
      </c>
      <c r="E640" s="210">
        <f>MACRO!I61</f>
        <v>0</v>
      </c>
      <c r="F640" s="14"/>
      <c r="G640" s="72" t="str">
        <f t="shared" si="65"/>
        <v/>
      </c>
      <c r="L640" s="209"/>
      <c r="N640" s="209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6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9"/>
      <c r="N641" s="209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6">
        <f t="shared" si="68"/>
        <v>47</v>
      </c>
      <c r="E642" s="11">
        <f>MACRO!E61</f>
        <v>0</v>
      </c>
      <c r="G642" s="72" t="str">
        <f t="shared" si="65"/>
        <v/>
      </c>
      <c r="L642" s="209"/>
      <c r="N642" s="209"/>
    </row>
    <row r="643" spans="1:14" x14ac:dyDescent="0.25">
      <c r="A643" t="str">
        <f>A644</f>
        <v>null</v>
      </c>
      <c r="B643" t="s">
        <v>37</v>
      </c>
      <c r="C643" t="s">
        <v>38</v>
      </c>
      <c r="D643" s="206">
        <f t="shared" si="68"/>
        <v>48</v>
      </c>
      <c r="E643" s="215">
        <f>MACRO!A62</f>
        <v>48</v>
      </c>
      <c r="G643" s="72" t="str">
        <f t="shared" si="65"/>
        <v/>
      </c>
      <c r="L643" s="209"/>
      <c r="N643" s="209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6">
        <f t="shared" si="68"/>
        <v>48</v>
      </c>
      <c r="E644" s="37">
        <f>MACRO!$B$62</f>
        <v>0</v>
      </c>
      <c r="G644" s="72" t="str">
        <f t="shared" si="65"/>
        <v/>
      </c>
      <c r="L644" s="209"/>
      <c r="N644" s="209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6">
        <f t="shared" si="68"/>
        <v>48</v>
      </c>
      <c r="E645" t="s">
        <v>54</v>
      </c>
      <c r="F645" s="14"/>
      <c r="G645" s="72" t="str">
        <f t="shared" si="65"/>
        <v/>
      </c>
      <c r="L645" s="209"/>
      <c r="N645" s="209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6">
        <f t="shared" si="68"/>
        <v>48</v>
      </c>
      <c r="E646" s="65">
        <f>MACRO!$C$62</f>
        <v>0</v>
      </c>
      <c r="G646" s="72" t="str">
        <f t="shared" si="65"/>
        <v/>
      </c>
      <c r="L646" s="209"/>
      <c r="N646" s="209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6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9"/>
      <c r="N647" s="209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6">
        <f t="shared" si="68"/>
        <v>48</v>
      </c>
      <c r="E648" s="211">
        <f>MACRO!$F$62</f>
        <v>0</v>
      </c>
      <c r="G648" s="72" t="str">
        <f t="shared" si="65"/>
        <v/>
      </c>
      <c r="L648" s="209"/>
      <c r="N648" s="209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6">
        <f t="shared" si="68"/>
        <v>48</v>
      </c>
      <c r="E649" s="212">
        <f>MACRO!$G$62</f>
        <v>0</v>
      </c>
      <c r="G649" s="72" t="str">
        <f t="shared" si="65"/>
        <v/>
      </c>
      <c r="L649" s="209"/>
      <c r="N649" s="209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6">
        <f t="shared" si="68"/>
        <v>48</v>
      </c>
      <c r="E650" s="71">
        <f>ROUND(MACRO!$J$62,2)</f>
        <v>0</v>
      </c>
      <c r="G650" s="72" t="str">
        <f t="shared" si="65"/>
        <v/>
      </c>
      <c r="L650" s="209"/>
      <c r="N650" s="209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6">
        <f t="shared" si="68"/>
        <v>48</v>
      </c>
      <c r="E651" s="1">
        <f>IF($E$41=10,1000,9996)</f>
        <v>1000</v>
      </c>
      <c r="F651" s="14"/>
      <c r="G651" s="72" t="str">
        <f t="shared" si="65"/>
        <v/>
      </c>
      <c r="L651" s="209"/>
      <c r="N651" s="209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6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9"/>
      <c r="N652" s="209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6">
        <f t="shared" si="68"/>
        <v>48</v>
      </c>
      <c r="E653" s="210">
        <f>MACRO!I62</f>
        <v>0</v>
      </c>
      <c r="F653" s="14"/>
      <c r="G653" s="72" t="str">
        <f t="shared" si="65"/>
        <v/>
      </c>
      <c r="L653" s="209"/>
      <c r="N653" s="209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6">
        <f t="shared" si="68"/>
        <v>48</v>
      </c>
      <c r="E654" s="71">
        <f>ROUND(MACRO!$I$62,2)</f>
        <v>0</v>
      </c>
      <c r="G654" s="72" t="str">
        <f t="shared" si="65"/>
        <v/>
      </c>
      <c r="L654" s="209"/>
      <c r="N654" s="209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6">
        <f t="shared" si="68"/>
        <v>48</v>
      </c>
      <c r="E655" s="11">
        <f>MACRO!E62</f>
        <v>0</v>
      </c>
      <c r="G655" s="72" t="str">
        <f t="shared" si="65"/>
        <v/>
      </c>
      <c r="L655" s="209"/>
      <c r="N655" s="209"/>
    </row>
    <row r="656" spans="1:14" x14ac:dyDescent="0.25">
      <c r="A656" t="str">
        <f>A657</f>
        <v>null</v>
      </c>
      <c r="B656" t="s">
        <v>37</v>
      </c>
      <c r="C656" t="s">
        <v>38</v>
      </c>
      <c r="D656" s="206">
        <f t="shared" si="68"/>
        <v>49</v>
      </c>
      <c r="E656" s="215">
        <f>MACRO!A63</f>
        <v>49</v>
      </c>
      <c r="G656" s="72" t="str">
        <f t="shared" si="65"/>
        <v/>
      </c>
      <c r="L656" s="209"/>
      <c r="N656" s="209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6">
        <f t="shared" si="68"/>
        <v>49</v>
      </c>
      <c r="E657" s="37">
        <f>MACRO!$B$63</f>
        <v>0</v>
      </c>
      <c r="G657" s="72" t="str">
        <f t="shared" si="65"/>
        <v/>
      </c>
      <c r="L657" s="209"/>
      <c r="N657" s="209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6">
        <f t="shared" si="68"/>
        <v>49</v>
      </c>
      <c r="E658" t="s">
        <v>54</v>
      </c>
      <c r="F658" s="14"/>
      <c r="G658" s="72" t="str">
        <f t="shared" si="65"/>
        <v/>
      </c>
      <c r="L658" s="209"/>
      <c r="N658" s="209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6">
        <f t="shared" si="68"/>
        <v>49</v>
      </c>
      <c r="E659" s="65">
        <f>MACRO!$C$63</f>
        <v>0</v>
      </c>
      <c r="G659" s="72" t="str">
        <f t="shared" si="65"/>
        <v/>
      </c>
      <c r="L659" s="209"/>
      <c r="N659" s="209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6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9"/>
      <c r="N660" s="209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6">
        <f t="shared" si="68"/>
        <v>49</v>
      </c>
      <c r="E661" s="211">
        <f>MACRO!$F$63</f>
        <v>0</v>
      </c>
      <c r="G661" s="72" t="str">
        <f t="shared" si="65"/>
        <v/>
      </c>
      <c r="L661" s="209"/>
      <c r="N661" s="209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6">
        <f t="shared" si="68"/>
        <v>49</v>
      </c>
      <c r="E662" s="212">
        <f>MACRO!$G$63</f>
        <v>0</v>
      </c>
      <c r="G662" s="72" t="str">
        <f t="shared" si="65"/>
        <v/>
      </c>
      <c r="L662" s="209"/>
      <c r="N662" s="209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6">
        <f t="shared" si="68"/>
        <v>49</v>
      </c>
      <c r="E663" s="71">
        <f>ROUND(MACRO!$J$63,2)</f>
        <v>0</v>
      </c>
      <c r="G663" s="72" t="str">
        <f t="shared" si="65"/>
        <v/>
      </c>
      <c r="L663" s="209"/>
      <c r="N663" s="209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6">
        <f t="shared" si="68"/>
        <v>49</v>
      </c>
      <c r="E664" s="1">
        <f>IF($E$41=10,1000,9996)</f>
        <v>1000</v>
      </c>
      <c r="F664" s="14"/>
      <c r="G664" s="72" t="str">
        <f t="shared" si="65"/>
        <v/>
      </c>
      <c r="L664" s="209"/>
      <c r="N664" s="209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6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9"/>
      <c r="N665" s="209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6">
        <f t="shared" si="68"/>
        <v>49</v>
      </c>
      <c r="E666" s="210">
        <f>MACRO!I63</f>
        <v>0</v>
      </c>
      <c r="F666" s="14"/>
      <c r="G666" s="72" t="str">
        <f t="shared" si="65"/>
        <v/>
      </c>
      <c r="L666" s="209"/>
      <c r="N666" s="209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6">
        <f t="shared" si="68"/>
        <v>49</v>
      </c>
      <c r="E667" s="71">
        <f>ROUND(MACRO!$I$63,2)</f>
        <v>0</v>
      </c>
      <c r="G667" s="72" t="str">
        <f t="shared" si="65"/>
        <v/>
      </c>
      <c r="L667" s="209"/>
      <c r="N667" s="209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6">
        <f t="shared" si="68"/>
        <v>49</v>
      </c>
      <c r="E668" s="11">
        <f>MACRO!E63</f>
        <v>0</v>
      </c>
      <c r="G668" s="72" t="str">
        <f t="shared" si="65"/>
        <v/>
      </c>
      <c r="L668" s="209"/>
      <c r="N668" s="209"/>
    </row>
    <row r="669" spans="1:14" x14ac:dyDescent="0.25">
      <c r="A669" t="str">
        <f>A670</f>
        <v>null</v>
      </c>
      <c r="B669" t="s">
        <v>37</v>
      </c>
      <c r="C669" t="s">
        <v>38</v>
      </c>
      <c r="D669" s="206">
        <f t="shared" si="68"/>
        <v>50</v>
      </c>
      <c r="E669" s="215">
        <f>MACRO!A64</f>
        <v>50</v>
      </c>
      <c r="G669" s="72" t="str">
        <f t="shared" si="65"/>
        <v/>
      </c>
      <c r="L669" s="209"/>
      <c r="N669" s="209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6">
        <f t="shared" si="68"/>
        <v>50</v>
      </c>
      <c r="E670" s="37">
        <f>MACRO!$B$64</f>
        <v>0</v>
      </c>
      <c r="G670" s="72" t="str">
        <f t="shared" si="65"/>
        <v/>
      </c>
      <c r="L670" s="209"/>
      <c r="N670" s="209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6">
        <f t="shared" si="68"/>
        <v>50</v>
      </c>
      <c r="E671" t="s">
        <v>54</v>
      </c>
      <c r="F671" s="14"/>
      <c r="G671" s="72" t="str">
        <f t="shared" si="65"/>
        <v/>
      </c>
      <c r="L671" s="209"/>
      <c r="N671" s="209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6">
        <f t="shared" si="68"/>
        <v>50</v>
      </c>
      <c r="E672" s="65">
        <f>MACRO!$C$64</f>
        <v>0</v>
      </c>
      <c r="G672" s="72" t="str">
        <f t="shared" si="65"/>
        <v/>
      </c>
      <c r="L672" s="209"/>
      <c r="N672" s="209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6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9"/>
      <c r="N673" s="209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6">
        <f t="shared" si="68"/>
        <v>50</v>
      </c>
      <c r="E674" s="211">
        <f>MACRO!$F$64</f>
        <v>0</v>
      </c>
      <c r="G674" s="72" t="str">
        <f t="shared" si="65"/>
        <v/>
      </c>
      <c r="L674" s="209"/>
      <c r="N674" s="209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6">
        <f t="shared" si="68"/>
        <v>50</v>
      </c>
      <c r="E675" s="212">
        <f>MACRO!$G$64</f>
        <v>0</v>
      </c>
      <c r="G675" s="72" t="str">
        <f t="shared" si="65"/>
        <v/>
      </c>
      <c r="L675" s="209"/>
      <c r="N675" s="209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6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9"/>
      <c r="N676" s="209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6">
        <f t="shared" si="68"/>
        <v>50</v>
      </c>
      <c r="E677" s="1">
        <f>IF($E$41=10,1000,9996)</f>
        <v>1000</v>
      </c>
      <c r="F677" s="14"/>
      <c r="G677" s="72" t="str">
        <f t="shared" si="72"/>
        <v/>
      </c>
      <c r="L677" s="209"/>
      <c r="N677" s="209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6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9"/>
      <c r="N678" s="209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6">
        <f t="shared" si="68"/>
        <v>50</v>
      </c>
      <c r="E679" s="210">
        <f>MACRO!I64</f>
        <v>0</v>
      </c>
      <c r="F679" s="14"/>
      <c r="G679" s="72" t="str">
        <f t="shared" si="72"/>
        <v/>
      </c>
      <c r="L679" s="209"/>
      <c r="N679" s="209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6">
        <f t="shared" si="68"/>
        <v>50</v>
      </c>
      <c r="E680" s="71">
        <f>ROUND(MACRO!$I$64,2)</f>
        <v>0</v>
      </c>
      <c r="G680" s="72" t="str">
        <f t="shared" si="72"/>
        <v/>
      </c>
      <c r="L680" s="209"/>
      <c r="N680" s="209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6">
        <f t="shared" si="68"/>
        <v>50</v>
      </c>
      <c r="E681" s="11">
        <f>MACRO!E64</f>
        <v>0</v>
      </c>
      <c r="G681" s="72" t="str">
        <f t="shared" si="72"/>
        <v/>
      </c>
      <c r="L681" s="209"/>
      <c r="N681" s="209"/>
    </row>
    <row r="682" spans="1:14" x14ac:dyDescent="0.25">
      <c r="A682" t="str">
        <f>A683</f>
        <v>null</v>
      </c>
      <c r="B682" t="s">
        <v>37</v>
      </c>
      <c r="C682" t="s">
        <v>38</v>
      </c>
      <c r="D682" s="206">
        <f t="shared" si="68"/>
        <v>51</v>
      </c>
      <c r="E682" s="215">
        <f>MACRO!A65</f>
        <v>51</v>
      </c>
      <c r="G682" s="72" t="str">
        <f t="shared" si="72"/>
        <v/>
      </c>
      <c r="L682" s="209"/>
      <c r="N682" s="209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6">
        <f t="shared" si="68"/>
        <v>51</v>
      </c>
      <c r="E683" s="37">
        <f>MACRO!$B$65</f>
        <v>0</v>
      </c>
      <c r="G683" s="72" t="str">
        <f t="shared" si="72"/>
        <v/>
      </c>
      <c r="L683" s="209"/>
      <c r="N683" s="209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6">
        <f t="shared" si="68"/>
        <v>51</v>
      </c>
      <c r="E684" t="s">
        <v>54</v>
      </c>
      <c r="F684" s="14"/>
      <c r="G684" s="72" t="str">
        <f t="shared" si="72"/>
        <v/>
      </c>
      <c r="L684" s="209"/>
      <c r="N684" s="209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6">
        <f t="shared" si="68"/>
        <v>51</v>
      </c>
      <c r="E685" s="65">
        <f>MACRO!$C$65</f>
        <v>0</v>
      </c>
      <c r="G685" s="72" t="str">
        <f t="shared" si="72"/>
        <v/>
      </c>
      <c r="L685" s="209"/>
      <c r="N685" s="209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6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9"/>
      <c r="N686" s="209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6">
        <f t="shared" si="68"/>
        <v>51</v>
      </c>
      <c r="E687" s="211">
        <f>MACRO!$F$65</f>
        <v>0</v>
      </c>
      <c r="G687" s="72" t="str">
        <f t="shared" si="72"/>
        <v/>
      </c>
      <c r="L687" s="209"/>
      <c r="N687" s="209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6">
        <f t="shared" si="68"/>
        <v>51</v>
      </c>
      <c r="E688" s="212">
        <f>MACRO!$G$65</f>
        <v>0</v>
      </c>
      <c r="G688" s="72" t="str">
        <f t="shared" si="72"/>
        <v/>
      </c>
      <c r="L688" s="209"/>
      <c r="N688" s="209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6">
        <f t="shared" si="68"/>
        <v>51</v>
      </c>
      <c r="E689" s="71">
        <f>ROUND(MACRO!$J$65,2)</f>
        <v>0</v>
      </c>
      <c r="G689" s="72" t="str">
        <f t="shared" si="72"/>
        <v/>
      </c>
      <c r="L689" s="209"/>
      <c r="N689" s="209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6">
        <f t="shared" si="68"/>
        <v>51</v>
      </c>
      <c r="E690" s="1">
        <f>IF($E$41=10,1000,9996)</f>
        <v>1000</v>
      </c>
      <c r="F690" s="14"/>
      <c r="G690" s="72" t="str">
        <f t="shared" si="72"/>
        <v/>
      </c>
      <c r="L690" s="209"/>
      <c r="N690" s="209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6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9"/>
      <c r="N691" s="209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6">
        <f t="shared" si="68"/>
        <v>51</v>
      </c>
      <c r="E692" s="210">
        <f>MACRO!I65</f>
        <v>0</v>
      </c>
      <c r="F692" s="14"/>
      <c r="G692" s="72" t="str">
        <f t="shared" si="72"/>
        <v/>
      </c>
      <c r="L692" s="209"/>
      <c r="N692" s="209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6">
        <f t="shared" si="68"/>
        <v>51</v>
      </c>
      <c r="E693" s="71">
        <f>ROUND(MACRO!$I$65,2)</f>
        <v>0</v>
      </c>
      <c r="G693" s="72" t="str">
        <f t="shared" si="72"/>
        <v/>
      </c>
      <c r="L693" s="209"/>
      <c r="N693" s="209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6">
        <f t="shared" si="68"/>
        <v>51</v>
      </c>
      <c r="E694" s="11">
        <f>MACRO!E65</f>
        <v>0</v>
      </c>
      <c r="G694" s="72" t="str">
        <f t="shared" si="72"/>
        <v/>
      </c>
      <c r="L694" s="209"/>
      <c r="N694" s="209"/>
    </row>
    <row r="695" spans="1:14" x14ac:dyDescent="0.25">
      <c r="A695" t="str">
        <f>A696</f>
        <v>null</v>
      </c>
      <c r="B695" t="s">
        <v>37</v>
      </c>
      <c r="C695" t="s">
        <v>38</v>
      </c>
      <c r="D695" s="206">
        <f t="shared" si="68"/>
        <v>52</v>
      </c>
      <c r="E695" s="215">
        <f>MACRO!A66</f>
        <v>52</v>
      </c>
      <c r="G695" s="72" t="str">
        <f t="shared" si="72"/>
        <v/>
      </c>
      <c r="L695" s="209"/>
      <c r="N695" s="209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6">
        <f t="shared" si="68"/>
        <v>52</v>
      </c>
      <c r="E696" s="37">
        <f>MACRO!$B$66</f>
        <v>0</v>
      </c>
      <c r="G696" s="72" t="str">
        <f t="shared" si="72"/>
        <v/>
      </c>
      <c r="L696" s="209"/>
      <c r="N696" s="209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6">
        <f t="shared" si="68"/>
        <v>52</v>
      </c>
      <c r="E697" t="s">
        <v>54</v>
      </c>
      <c r="F697" s="14"/>
      <c r="G697" s="72" t="str">
        <f t="shared" si="72"/>
        <v/>
      </c>
      <c r="L697" s="209"/>
      <c r="N697" s="209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6">
        <f t="shared" si="68"/>
        <v>52</v>
      </c>
      <c r="E698" s="65">
        <f>MACRO!$C$66</f>
        <v>0</v>
      </c>
      <c r="G698" s="72" t="str">
        <f t="shared" si="72"/>
        <v/>
      </c>
      <c r="L698" s="209"/>
      <c r="N698" s="209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6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9"/>
      <c r="N699" s="209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6">
        <f t="shared" si="68"/>
        <v>52</v>
      </c>
      <c r="E700" s="211">
        <f>MACRO!$F$66</f>
        <v>0</v>
      </c>
      <c r="G700" s="72" t="str">
        <f t="shared" si="72"/>
        <v/>
      </c>
      <c r="L700" s="209"/>
      <c r="N700" s="209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6">
        <f t="shared" si="68"/>
        <v>52</v>
      </c>
      <c r="E701" s="212">
        <f>MACRO!$G$66</f>
        <v>0</v>
      </c>
      <c r="G701" s="72" t="str">
        <f t="shared" si="72"/>
        <v/>
      </c>
      <c r="L701" s="209"/>
      <c r="N701" s="209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6">
        <f t="shared" si="68"/>
        <v>52</v>
      </c>
      <c r="E702" s="71">
        <f>ROUND(MACRO!$J$66,2)</f>
        <v>0</v>
      </c>
      <c r="G702" s="72" t="str">
        <f t="shared" si="72"/>
        <v/>
      </c>
      <c r="L702" s="209"/>
      <c r="N702" s="209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6">
        <f t="shared" si="68"/>
        <v>52</v>
      </c>
      <c r="E703" s="1">
        <f>IF($E$41=10,1000,9996)</f>
        <v>1000</v>
      </c>
      <c r="F703" s="14"/>
      <c r="G703" s="72" t="str">
        <f t="shared" si="72"/>
        <v/>
      </c>
      <c r="L703" s="209"/>
      <c r="N703" s="209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6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9"/>
      <c r="N704" s="209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6">
        <f t="shared" ref="D705:D768" si="75">IF(C705="NroLinDet",D704+1,D704)</f>
        <v>52</v>
      </c>
      <c r="E705" s="210">
        <f>MACRO!I66</f>
        <v>0</v>
      </c>
      <c r="F705" s="14"/>
      <c r="G705" s="72" t="str">
        <f t="shared" si="72"/>
        <v/>
      </c>
      <c r="L705" s="209"/>
      <c r="N705" s="209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6">
        <f t="shared" si="75"/>
        <v>52</v>
      </c>
      <c r="E706" s="71">
        <f>ROUND(MACRO!$I$66,2)</f>
        <v>0</v>
      </c>
      <c r="G706" s="72" t="str">
        <f t="shared" si="72"/>
        <v/>
      </c>
      <c r="L706" s="209"/>
      <c r="N706" s="209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6">
        <f t="shared" si="75"/>
        <v>52</v>
      </c>
      <c r="E707" s="11">
        <f>MACRO!E66</f>
        <v>0</v>
      </c>
      <c r="G707" s="72" t="str">
        <f t="shared" si="72"/>
        <v/>
      </c>
      <c r="L707" s="209"/>
      <c r="N707" s="209"/>
    </row>
    <row r="708" spans="1:14" x14ac:dyDescent="0.25">
      <c r="A708" t="str">
        <f>A709</f>
        <v>null</v>
      </c>
      <c r="B708" t="s">
        <v>37</v>
      </c>
      <c r="C708" t="s">
        <v>38</v>
      </c>
      <c r="D708" s="206">
        <f t="shared" si="75"/>
        <v>53</v>
      </c>
      <c r="E708" s="215">
        <f>MACRO!A67</f>
        <v>53</v>
      </c>
      <c r="G708" s="72" t="str">
        <f t="shared" si="72"/>
        <v/>
      </c>
      <c r="L708" s="209"/>
      <c r="N708" s="209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6">
        <f t="shared" si="75"/>
        <v>53</v>
      </c>
      <c r="E709" s="37">
        <f>MACRO!$B$67</f>
        <v>0</v>
      </c>
      <c r="G709" s="72" t="str">
        <f t="shared" si="72"/>
        <v/>
      </c>
      <c r="L709" s="209"/>
      <c r="N709" s="209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6">
        <f t="shared" si="75"/>
        <v>53</v>
      </c>
      <c r="E710" t="s">
        <v>54</v>
      </c>
      <c r="F710" s="14"/>
      <c r="G710" s="72" t="str">
        <f t="shared" si="72"/>
        <v/>
      </c>
      <c r="L710" s="209"/>
      <c r="N710" s="209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6">
        <f t="shared" si="75"/>
        <v>53</v>
      </c>
      <c r="E711" s="65">
        <f>MACRO!$C$67</f>
        <v>0</v>
      </c>
      <c r="G711" s="72" t="str">
        <f t="shared" si="72"/>
        <v/>
      </c>
      <c r="L711" s="209"/>
      <c r="N711" s="209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6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9"/>
      <c r="N712" s="209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6">
        <f t="shared" si="75"/>
        <v>53</v>
      </c>
      <c r="E713" s="211">
        <f>MACRO!$F$67</f>
        <v>0</v>
      </c>
      <c r="G713" s="72" t="str">
        <f t="shared" si="72"/>
        <v/>
      </c>
      <c r="L713" s="209"/>
      <c r="N713" s="209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6">
        <f t="shared" si="75"/>
        <v>53</v>
      </c>
      <c r="E714" s="212">
        <f>MACRO!$G$67</f>
        <v>0</v>
      </c>
      <c r="G714" s="72" t="str">
        <f t="shared" si="72"/>
        <v/>
      </c>
      <c r="L714" s="209"/>
      <c r="N714" s="209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6">
        <f t="shared" si="75"/>
        <v>53</v>
      </c>
      <c r="E715" s="71">
        <f>ROUND(MACRO!$J$67,2)</f>
        <v>0</v>
      </c>
      <c r="G715" s="72" t="str">
        <f t="shared" si="72"/>
        <v/>
      </c>
      <c r="L715" s="209"/>
      <c r="N715" s="209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6">
        <f t="shared" si="75"/>
        <v>53</v>
      </c>
      <c r="E716" s="1">
        <f>IF($E$41=10,1000,9996)</f>
        <v>1000</v>
      </c>
      <c r="F716" s="14"/>
      <c r="G716" s="72" t="str">
        <f t="shared" si="72"/>
        <v/>
      </c>
      <c r="L716" s="209"/>
      <c r="N716" s="209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6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9"/>
      <c r="N717" s="209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6">
        <f t="shared" si="75"/>
        <v>53</v>
      </c>
      <c r="E718" s="210">
        <f>MACRO!I67</f>
        <v>0</v>
      </c>
      <c r="F718" s="14"/>
      <c r="G718" s="72" t="str">
        <f t="shared" si="72"/>
        <v/>
      </c>
      <c r="L718" s="209"/>
      <c r="N718" s="209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6">
        <f t="shared" si="75"/>
        <v>53</v>
      </c>
      <c r="E719" s="71">
        <f>ROUND(MACRO!$I$67,2)</f>
        <v>0</v>
      </c>
      <c r="G719" s="72" t="str">
        <f t="shared" si="72"/>
        <v/>
      </c>
      <c r="L719" s="209"/>
      <c r="N719" s="209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6">
        <f t="shared" si="75"/>
        <v>53</v>
      </c>
      <c r="E720" s="11">
        <f>MACRO!E67</f>
        <v>0</v>
      </c>
      <c r="G720" s="72" t="str">
        <f t="shared" si="72"/>
        <v/>
      </c>
      <c r="L720" s="209"/>
      <c r="N720" s="209"/>
    </row>
    <row r="721" spans="1:14" x14ac:dyDescent="0.25">
      <c r="A721" t="str">
        <f>A722</f>
        <v>null</v>
      </c>
      <c r="B721" t="s">
        <v>37</v>
      </c>
      <c r="C721" t="s">
        <v>38</v>
      </c>
      <c r="D721" s="206">
        <f t="shared" si="75"/>
        <v>54</v>
      </c>
      <c r="E721" s="215">
        <f>MACRO!A68</f>
        <v>54</v>
      </c>
      <c r="G721" s="72" t="str">
        <f t="shared" si="72"/>
        <v/>
      </c>
      <c r="L721" s="209"/>
      <c r="N721" s="209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6">
        <f t="shared" si="75"/>
        <v>54</v>
      </c>
      <c r="E722" s="37">
        <f>MACRO!$B$68</f>
        <v>0</v>
      </c>
      <c r="G722" s="72" t="str">
        <f t="shared" si="72"/>
        <v/>
      </c>
      <c r="L722" s="209"/>
      <c r="N722" s="209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6">
        <f t="shared" si="75"/>
        <v>54</v>
      </c>
      <c r="E723" t="s">
        <v>54</v>
      </c>
      <c r="F723" s="14"/>
      <c r="G723" s="72" t="str">
        <f t="shared" si="72"/>
        <v/>
      </c>
      <c r="L723" s="209"/>
      <c r="N723" s="209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6">
        <f t="shared" si="75"/>
        <v>54</v>
      </c>
      <c r="E724" s="65">
        <f>MACRO!$C$68</f>
        <v>0</v>
      </c>
      <c r="G724" s="72" t="str">
        <f t="shared" si="72"/>
        <v/>
      </c>
      <c r="L724" s="209"/>
      <c r="N724" s="209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6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9"/>
      <c r="N725" s="209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6">
        <f t="shared" si="75"/>
        <v>54</v>
      </c>
      <c r="E726" s="211">
        <f>MACRO!$F$68</f>
        <v>0</v>
      </c>
      <c r="G726" s="72" t="str">
        <f t="shared" si="72"/>
        <v/>
      </c>
      <c r="L726" s="209"/>
      <c r="N726" s="209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6">
        <f t="shared" si="75"/>
        <v>54</v>
      </c>
      <c r="E727" s="212">
        <f>MACRO!$G$68</f>
        <v>0</v>
      </c>
      <c r="G727" s="72" t="str">
        <f t="shared" si="72"/>
        <v/>
      </c>
      <c r="L727" s="209"/>
      <c r="N727" s="209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6">
        <f t="shared" si="75"/>
        <v>54</v>
      </c>
      <c r="E728" s="71">
        <f>ROUND(MACRO!$J$68,2)</f>
        <v>0</v>
      </c>
      <c r="G728" s="72" t="str">
        <f t="shared" si="72"/>
        <v/>
      </c>
      <c r="L728" s="209"/>
      <c r="N728" s="209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6">
        <f t="shared" si="75"/>
        <v>54</v>
      </c>
      <c r="E729" s="1">
        <f>IF($E$41=10,1000,9996)</f>
        <v>1000</v>
      </c>
      <c r="F729" s="14"/>
      <c r="G729" s="72" t="str">
        <f t="shared" si="72"/>
        <v/>
      </c>
      <c r="L729" s="209"/>
      <c r="N729" s="209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6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9"/>
      <c r="N730" s="209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6">
        <f t="shared" si="75"/>
        <v>54</v>
      </c>
      <c r="E731" s="210">
        <f>MACRO!I68</f>
        <v>0</v>
      </c>
      <c r="F731" s="14"/>
      <c r="G731" s="72" t="str">
        <f t="shared" si="72"/>
        <v/>
      </c>
      <c r="L731" s="209"/>
      <c r="N731" s="209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6">
        <f t="shared" si="75"/>
        <v>54</v>
      </c>
      <c r="E732" s="71">
        <f>ROUND(MACRO!$I$68,2)</f>
        <v>0</v>
      </c>
      <c r="G732" s="72" t="str">
        <f t="shared" si="72"/>
        <v/>
      </c>
      <c r="L732" s="209"/>
      <c r="N732" s="209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6">
        <f t="shared" si="75"/>
        <v>54</v>
      </c>
      <c r="E733" s="11">
        <f>MACRO!E68</f>
        <v>0</v>
      </c>
      <c r="G733" s="72" t="str">
        <f t="shared" si="72"/>
        <v/>
      </c>
      <c r="L733" s="209"/>
      <c r="N733" s="209"/>
    </row>
    <row r="734" spans="1:14" x14ac:dyDescent="0.25">
      <c r="A734" t="str">
        <f>A735</f>
        <v>null</v>
      </c>
      <c r="B734" t="s">
        <v>37</v>
      </c>
      <c r="C734" t="s">
        <v>38</v>
      </c>
      <c r="D734" s="206">
        <f t="shared" si="75"/>
        <v>55</v>
      </c>
      <c r="E734" s="215">
        <f>MACRO!A69</f>
        <v>55</v>
      </c>
      <c r="G734" s="72" t="str">
        <f t="shared" si="72"/>
        <v/>
      </c>
      <c r="L734" s="209"/>
      <c r="N734" s="209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6">
        <f t="shared" si="75"/>
        <v>55</v>
      </c>
      <c r="E735" s="37">
        <f>MACRO!$B$69</f>
        <v>0</v>
      </c>
      <c r="G735" s="72" t="str">
        <f t="shared" si="72"/>
        <v/>
      </c>
      <c r="L735" s="209"/>
      <c r="N735" s="209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6">
        <f t="shared" si="75"/>
        <v>55</v>
      </c>
      <c r="E736" t="s">
        <v>54</v>
      </c>
      <c r="F736" s="14"/>
      <c r="G736" s="72" t="str">
        <f t="shared" si="72"/>
        <v/>
      </c>
      <c r="L736" s="209"/>
      <c r="N736" s="209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6">
        <f t="shared" si="75"/>
        <v>55</v>
      </c>
      <c r="E737" s="65">
        <f>MACRO!$C$69</f>
        <v>0</v>
      </c>
      <c r="G737" s="72" t="str">
        <f t="shared" si="72"/>
        <v/>
      </c>
      <c r="L737" s="209"/>
      <c r="N737" s="209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6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9"/>
      <c r="N738" s="209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6">
        <f t="shared" si="75"/>
        <v>55</v>
      </c>
      <c r="E739" s="211">
        <f>MACRO!$F$69</f>
        <v>0</v>
      </c>
      <c r="G739" s="72" t="str">
        <f t="shared" si="72"/>
        <v/>
      </c>
      <c r="L739" s="209"/>
      <c r="N739" s="209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6">
        <f t="shared" si="75"/>
        <v>55</v>
      </c>
      <c r="E740" s="212">
        <f>MACRO!$G$69</f>
        <v>0</v>
      </c>
      <c r="G740" s="72" t="str">
        <f t="shared" ref="G740:G803" si="79">IF($A740="go",CONCATENATE($B740,";",$C740,";",$D740,";",$E740),"")</f>
        <v/>
      </c>
      <c r="L740" s="209"/>
      <c r="N740" s="209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6">
        <f t="shared" si="75"/>
        <v>55</v>
      </c>
      <c r="E741" s="71">
        <f>ROUND(MACRO!$J$69,2)</f>
        <v>0</v>
      </c>
      <c r="G741" s="72" t="str">
        <f t="shared" si="79"/>
        <v/>
      </c>
      <c r="L741" s="209"/>
      <c r="N741" s="209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6">
        <f t="shared" si="75"/>
        <v>55</v>
      </c>
      <c r="E742" s="1">
        <f>IF($E$41=10,1000,9996)</f>
        <v>1000</v>
      </c>
      <c r="F742" s="14"/>
      <c r="G742" s="72" t="str">
        <f t="shared" si="79"/>
        <v/>
      </c>
      <c r="L742" s="209"/>
      <c r="N742" s="209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6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9"/>
      <c r="N743" s="209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6">
        <f t="shared" si="75"/>
        <v>55</v>
      </c>
      <c r="E744" s="210">
        <f>MACRO!I69</f>
        <v>0</v>
      </c>
      <c r="F744" s="14"/>
      <c r="G744" s="72" t="str">
        <f t="shared" si="79"/>
        <v/>
      </c>
      <c r="L744" s="209"/>
      <c r="N744" s="209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6">
        <f t="shared" si="75"/>
        <v>55</v>
      </c>
      <c r="E745" s="71">
        <f>ROUND(MACRO!$I$69,2)</f>
        <v>0</v>
      </c>
      <c r="G745" s="72" t="str">
        <f t="shared" si="79"/>
        <v/>
      </c>
      <c r="L745" s="209"/>
      <c r="N745" s="209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6">
        <f t="shared" si="75"/>
        <v>55</v>
      </c>
      <c r="E746" s="11">
        <f>MACRO!E69</f>
        <v>0</v>
      </c>
      <c r="G746" s="72" t="str">
        <f t="shared" si="79"/>
        <v/>
      </c>
      <c r="L746" s="209"/>
      <c r="N746" s="209"/>
    </row>
    <row r="747" spans="1:14" x14ac:dyDescent="0.25">
      <c r="A747" t="str">
        <f>A748</f>
        <v>null</v>
      </c>
      <c r="B747" t="s">
        <v>37</v>
      </c>
      <c r="C747" t="s">
        <v>38</v>
      </c>
      <c r="D747" s="206">
        <f t="shared" si="75"/>
        <v>56</v>
      </c>
      <c r="E747" s="215">
        <f>MACRO!A70</f>
        <v>56</v>
      </c>
      <c r="G747" s="72" t="str">
        <f t="shared" si="79"/>
        <v/>
      </c>
      <c r="L747" s="209"/>
      <c r="N747" s="209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6">
        <f t="shared" si="75"/>
        <v>56</v>
      </c>
      <c r="E748" s="37">
        <f>MACRO!$B$70</f>
        <v>0</v>
      </c>
      <c r="G748" s="72" t="str">
        <f t="shared" si="79"/>
        <v/>
      </c>
      <c r="L748" s="209"/>
      <c r="N748" s="209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6">
        <f t="shared" si="75"/>
        <v>56</v>
      </c>
      <c r="E749" t="s">
        <v>54</v>
      </c>
      <c r="F749" s="14"/>
      <c r="G749" s="72" t="str">
        <f t="shared" si="79"/>
        <v/>
      </c>
      <c r="L749" s="209"/>
      <c r="N749" s="209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6">
        <f t="shared" si="75"/>
        <v>56</v>
      </c>
      <c r="E750" s="65">
        <f>MACRO!$C$70</f>
        <v>0</v>
      </c>
      <c r="G750" s="72" t="str">
        <f t="shared" si="79"/>
        <v/>
      </c>
      <c r="L750" s="209"/>
      <c r="N750" s="209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6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9"/>
      <c r="N751" s="209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6">
        <f t="shared" si="75"/>
        <v>56</v>
      </c>
      <c r="E752" s="211">
        <f>MACRO!$F$70</f>
        <v>0</v>
      </c>
      <c r="G752" s="72" t="str">
        <f t="shared" si="79"/>
        <v/>
      </c>
      <c r="L752" s="209"/>
      <c r="N752" s="209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6">
        <f t="shared" si="75"/>
        <v>56</v>
      </c>
      <c r="E753" s="212">
        <f>MACRO!$G$70</f>
        <v>0</v>
      </c>
      <c r="G753" s="72" t="str">
        <f t="shared" si="79"/>
        <v/>
      </c>
      <c r="L753" s="209"/>
      <c r="N753" s="209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6">
        <f t="shared" si="75"/>
        <v>56</v>
      </c>
      <c r="E754" s="71">
        <f>ROUND(MACRO!$J$70,2)</f>
        <v>0</v>
      </c>
      <c r="G754" s="72" t="str">
        <f t="shared" si="79"/>
        <v/>
      </c>
      <c r="L754" s="209"/>
      <c r="N754" s="209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6">
        <f t="shared" si="75"/>
        <v>56</v>
      </c>
      <c r="E755" s="1">
        <f>IF($E$41=10,1000,9996)</f>
        <v>1000</v>
      </c>
      <c r="F755" s="14"/>
      <c r="G755" s="72" t="str">
        <f t="shared" si="79"/>
        <v/>
      </c>
      <c r="L755" s="209"/>
      <c r="N755" s="209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6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9"/>
      <c r="N756" s="209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6">
        <f t="shared" si="75"/>
        <v>56</v>
      </c>
      <c r="E757" s="210">
        <f>MACRO!I70</f>
        <v>0</v>
      </c>
      <c r="F757" s="14"/>
      <c r="G757" s="72" t="str">
        <f t="shared" si="79"/>
        <v/>
      </c>
      <c r="L757" s="209"/>
      <c r="N757" s="209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6">
        <f t="shared" si="75"/>
        <v>56</v>
      </c>
      <c r="E758" s="71">
        <f>ROUND(MACRO!$I$70,2)</f>
        <v>0</v>
      </c>
      <c r="G758" s="72" t="str">
        <f t="shared" si="79"/>
        <v/>
      </c>
      <c r="L758" s="209"/>
      <c r="N758" s="209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6">
        <f t="shared" si="75"/>
        <v>56</v>
      </c>
      <c r="E759" s="11">
        <f>MACRO!E70</f>
        <v>0</v>
      </c>
      <c r="G759" s="72" t="str">
        <f t="shared" si="79"/>
        <v/>
      </c>
      <c r="L759" s="209"/>
      <c r="N759" s="209"/>
    </row>
    <row r="760" spans="1:14" x14ac:dyDescent="0.25">
      <c r="A760" t="str">
        <f>A761</f>
        <v>null</v>
      </c>
      <c r="B760" t="s">
        <v>37</v>
      </c>
      <c r="C760" t="s">
        <v>38</v>
      </c>
      <c r="D760" s="206">
        <f t="shared" si="75"/>
        <v>57</v>
      </c>
      <c r="E760" s="215">
        <f>MACRO!A71</f>
        <v>57</v>
      </c>
      <c r="G760" s="72" t="str">
        <f t="shared" si="79"/>
        <v/>
      </c>
      <c r="L760" s="209"/>
      <c r="N760" s="209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6">
        <f t="shared" si="75"/>
        <v>57</v>
      </c>
      <c r="E761" s="37">
        <f>MACRO!$B$71</f>
        <v>0</v>
      </c>
      <c r="G761" s="72" t="str">
        <f t="shared" si="79"/>
        <v/>
      </c>
      <c r="L761" s="209"/>
      <c r="N761" s="209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6">
        <f t="shared" si="75"/>
        <v>57</v>
      </c>
      <c r="E762" t="s">
        <v>54</v>
      </c>
      <c r="F762" s="14"/>
      <c r="G762" s="72" t="str">
        <f t="shared" si="79"/>
        <v/>
      </c>
      <c r="L762" s="209"/>
      <c r="N762" s="209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6">
        <f t="shared" si="75"/>
        <v>57</v>
      </c>
      <c r="E763" s="65">
        <f>MACRO!$C$71</f>
        <v>0</v>
      </c>
      <c r="G763" s="72" t="str">
        <f t="shared" si="79"/>
        <v/>
      </c>
      <c r="L763" s="209"/>
      <c r="N763" s="209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6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9"/>
      <c r="N764" s="209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6">
        <f t="shared" si="75"/>
        <v>57</v>
      </c>
      <c r="E765" s="211">
        <f>MACRO!$F$71</f>
        <v>0</v>
      </c>
      <c r="G765" s="72" t="str">
        <f t="shared" si="79"/>
        <v/>
      </c>
      <c r="L765" s="209"/>
      <c r="N765" s="209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6">
        <f t="shared" si="75"/>
        <v>57</v>
      </c>
      <c r="E766" s="212">
        <f>MACRO!$G$71</f>
        <v>0</v>
      </c>
      <c r="G766" s="72" t="str">
        <f t="shared" si="79"/>
        <v/>
      </c>
      <c r="L766" s="209"/>
      <c r="N766" s="209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6">
        <f t="shared" si="75"/>
        <v>57</v>
      </c>
      <c r="E767" s="71">
        <f>ROUND(MACRO!$J$71,2)</f>
        <v>0</v>
      </c>
      <c r="G767" s="72" t="str">
        <f t="shared" si="79"/>
        <v/>
      </c>
      <c r="L767" s="209"/>
      <c r="N767" s="209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6">
        <f t="shared" si="75"/>
        <v>57</v>
      </c>
      <c r="E768" s="1">
        <f>IF($E$41=10,1000,9996)</f>
        <v>1000</v>
      </c>
      <c r="F768" s="14"/>
      <c r="G768" s="72" t="str">
        <f t="shared" si="79"/>
        <v/>
      </c>
      <c r="L768" s="209"/>
      <c r="N768" s="209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6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9"/>
      <c r="N769" s="209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6">
        <f t="shared" si="82"/>
        <v>57</v>
      </c>
      <c r="E770" s="210">
        <f>MACRO!I71</f>
        <v>0</v>
      </c>
      <c r="F770" s="14"/>
      <c r="G770" s="72" t="str">
        <f t="shared" si="79"/>
        <v/>
      </c>
      <c r="L770" s="209"/>
      <c r="N770" s="209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6">
        <f t="shared" si="82"/>
        <v>57</v>
      </c>
      <c r="E771" s="71">
        <f>ROUND(MACRO!$I$71,2)</f>
        <v>0</v>
      </c>
      <c r="G771" s="72" t="str">
        <f t="shared" si="79"/>
        <v/>
      </c>
      <c r="L771" s="209"/>
      <c r="N771" s="209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6">
        <f t="shared" si="82"/>
        <v>57</v>
      </c>
      <c r="E772" s="11">
        <f>MACRO!E71</f>
        <v>0</v>
      </c>
      <c r="G772" s="72" t="str">
        <f t="shared" si="79"/>
        <v/>
      </c>
      <c r="L772" s="209"/>
      <c r="N772" s="209"/>
    </row>
    <row r="773" spans="1:14" x14ac:dyDescent="0.25">
      <c r="A773" t="str">
        <f>A774</f>
        <v>null</v>
      </c>
      <c r="B773" t="s">
        <v>37</v>
      </c>
      <c r="C773" t="s">
        <v>38</v>
      </c>
      <c r="D773" s="206">
        <f t="shared" si="82"/>
        <v>58</v>
      </c>
      <c r="E773" s="215">
        <f>MACRO!A72</f>
        <v>58</v>
      </c>
      <c r="G773" s="72" t="str">
        <f t="shared" si="79"/>
        <v/>
      </c>
      <c r="L773" s="209"/>
      <c r="N773" s="209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6">
        <f t="shared" si="82"/>
        <v>58</v>
      </c>
      <c r="E774" s="37">
        <f>MACRO!$B$72</f>
        <v>0</v>
      </c>
      <c r="G774" s="72" t="str">
        <f t="shared" si="79"/>
        <v/>
      </c>
      <c r="L774" s="209"/>
      <c r="N774" s="209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6">
        <f t="shared" si="82"/>
        <v>58</v>
      </c>
      <c r="E775" t="s">
        <v>54</v>
      </c>
      <c r="F775" s="14"/>
      <c r="G775" s="72" t="str">
        <f t="shared" si="79"/>
        <v/>
      </c>
      <c r="L775" s="209"/>
      <c r="N775" s="209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6">
        <f t="shared" si="82"/>
        <v>58</v>
      </c>
      <c r="E776" s="65">
        <f>MACRO!$C$72</f>
        <v>0</v>
      </c>
      <c r="G776" s="72" t="str">
        <f t="shared" si="79"/>
        <v/>
      </c>
      <c r="L776" s="209"/>
      <c r="N776" s="209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6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9"/>
      <c r="N777" s="209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6">
        <f t="shared" si="82"/>
        <v>58</v>
      </c>
      <c r="E778" s="211">
        <f>MACRO!$F$72</f>
        <v>0</v>
      </c>
      <c r="G778" s="72" t="str">
        <f t="shared" si="79"/>
        <v/>
      </c>
      <c r="L778" s="209"/>
      <c r="N778" s="209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6">
        <f t="shared" si="82"/>
        <v>58</v>
      </c>
      <c r="E779" s="212">
        <f>MACRO!$G$72</f>
        <v>0</v>
      </c>
      <c r="G779" s="72" t="str">
        <f t="shared" si="79"/>
        <v/>
      </c>
      <c r="L779" s="209"/>
      <c r="N779" s="209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6">
        <f t="shared" si="82"/>
        <v>58</v>
      </c>
      <c r="E780" s="71">
        <f>ROUND(MACRO!$J$72,2)</f>
        <v>0</v>
      </c>
      <c r="G780" s="72" t="str">
        <f t="shared" si="79"/>
        <v/>
      </c>
      <c r="L780" s="209"/>
      <c r="N780" s="209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6">
        <f t="shared" si="82"/>
        <v>58</v>
      </c>
      <c r="E781" s="1">
        <f>IF($E$41=10,1000,9996)</f>
        <v>1000</v>
      </c>
      <c r="F781" s="14"/>
      <c r="G781" s="72" t="str">
        <f t="shared" si="79"/>
        <v/>
      </c>
      <c r="L781" s="209"/>
      <c r="N781" s="209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6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9"/>
      <c r="N782" s="209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6">
        <f t="shared" si="82"/>
        <v>58</v>
      </c>
      <c r="E783" s="210">
        <f>MACRO!I72</f>
        <v>0</v>
      </c>
      <c r="F783" s="14"/>
      <c r="G783" s="72" t="str">
        <f t="shared" si="79"/>
        <v/>
      </c>
      <c r="L783" s="209"/>
      <c r="N783" s="209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6">
        <f t="shared" si="82"/>
        <v>58</v>
      </c>
      <c r="E784" s="71">
        <f>ROUND(MACRO!$I$72,2)</f>
        <v>0</v>
      </c>
      <c r="G784" s="72" t="str">
        <f t="shared" si="79"/>
        <v/>
      </c>
      <c r="L784" s="209"/>
      <c r="N784" s="209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6">
        <f t="shared" si="82"/>
        <v>58</v>
      </c>
      <c r="E785" s="11">
        <f>MACRO!E72</f>
        <v>0</v>
      </c>
      <c r="G785" s="72" t="str">
        <f t="shared" si="79"/>
        <v/>
      </c>
      <c r="L785" s="209"/>
      <c r="N785" s="209"/>
    </row>
    <row r="786" spans="1:14" x14ac:dyDescent="0.25">
      <c r="A786" t="str">
        <f>A787</f>
        <v>null</v>
      </c>
      <c r="B786" t="s">
        <v>37</v>
      </c>
      <c r="C786" t="s">
        <v>38</v>
      </c>
      <c r="D786" s="206">
        <f t="shared" si="82"/>
        <v>59</v>
      </c>
      <c r="E786" s="215">
        <f>MACRO!A73</f>
        <v>59</v>
      </c>
      <c r="G786" s="72" t="str">
        <f t="shared" si="79"/>
        <v/>
      </c>
      <c r="L786" s="209"/>
      <c r="N786" s="209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6">
        <f t="shared" si="82"/>
        <v>59</v>
      </c>
      <c r="E787" s="37">
        <f>MACRO!$B$73</f>
        <v>0</v>
      </c>
      <c r="G787" s="72" t="str">
        <f t="shared" si="79"/>
        <v/>
      </c>
      <c r="L787" s="209"/>
      <c r="N787" s="209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6">
        <f t="shared" si="82"/>
        <v>59</v>
      </c>
      <c r="E788" t="s">
        <v>54</v>
      </c>
      <c r="F788" s="14"/>
      <c r="G788" s="72" t="str">
        <f t="shared" si="79"/>
        <v/>
      </c>
      <c r="L788" s="209"/>
      <c r="N788" s="209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6">
        <f t="shared" si="82"/>
        <v>59</v>
      </c>
      <c r="E789" s="65">
        <f>MACRO!$C$73</f>
        <v>0</v>
      </c>
      <c r="G789" s="72" t="str">
        <f t="shared" si="79"/>
        <v/>
      </c>
      <c r="L789" s="209"/>
      <c r="N789" s="209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6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9"/>
      <c r="N790" s="209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6">
        <f t="shared" si="82"/>
        <v>59</v>
      </c>
      <c r="E791" s="211">
        <f>MACRO!$F$73</f>
        <v>0</v>
      </c>
      <c r="G791" s="72" t="str">
        <f t="shared" si="79"/>
        <v/>
      </c>
      <c r="L791" s="209"/>
      <c r="N791" s="209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6">
        <f t="shared" si="82"/>
        <v>59</v>
      </c>
      <c r="E792" s="212">
        <f>MACRO!$G$73</f>
        <v>0</v>
      </c>
      <c r="G792" s="72" t="str">
        <f t="shared" si="79"/>
        <v/>
      </c>
      <c r="L792" s="209"/>
      <c r="N792" s="209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6">
        <f t="shared" si="82"/>
        <v>59</v>
      </c>
      <c r="E793" s="71">
        <f>ROUND(MACRO!$J$73,2)</f>
        <v>0</v>
      </c>
      <c r="G793" s="72" t="str">
        <f t="shared" si="79"/>
        <v/>
      </c>
      <c r="L793" s="209"/>
      <c r="N793" s="209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6">
        <f t="shared" si="82"/>
        <v>59</v>
      </c>
      <c r="E794" s="1">
        <f>IF($E$41=10,1000,9996)</f>
        <v>1000</v>
      </c>
      <c r="F794" s="14"/>
      <c r="G794" s="72" t="str">
        <f t="shared" si="79"/>
        <v/>
      </c>
      <c r="L794" s="209"/>
      <c r="N794" s="209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6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9"/>
      <c r="N795" s="209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6">
        <f t="shared" si="82"/>
        <v>59</v>
      </c>
      <c r="E796" s="210">
        <f>MACRO!I73</f>
        <v>0</v>
      </c>
      <c r="F796" s="14"/>
      <c r="G796" s="72" t="str">
        <f t="shared" si="79"/>
        <v/>
      </c>
      <c r="L796" s="209"/>
      <c r="N796" s="209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6">
        <f t="shared" si="82"/>
        <v>59</v>
      </c>
      <c r="E797" s="71">
        <f>ROUND(MACRO!$I$73,2)</f>
        <v>0</v>
      </c>
      <c r="G797" s="72" t="str">
        <f t="shared" si="79"/>
        <v/>
      </c>
      <c r="L797" s="209"/>
      <c r="N797" s="209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6">
        <f t="shared" si="82"/>
        <v>59</v>
      </c>
      <c r="E798" s="11">
        <f>MACRO!E73</f>
        <v>0</v>
      </c>
      <c r="G798" s="72" t="str">
        <f t="shared" si="79"/>
        <v/>
      </c>
      <c r="L798" s="209"/>
      <c r="N798" s="209"/>
    </row>
    <row r="799" spans="1:14" x14ac:dyDescent="0.25">
      <c r="A799" t="str">
        <f>A800</f>
        <v>null</v>
      </c>
      <c r="B799" t="s">
        <v>37</v>
      </c>
      <c r="C799" t="s">
        <v>38</v>
      </c>
      <c r="D799" s="206">
        <f t="shared" si="82"/>
        <v>60</v>
      </c>
      <c r="E799" s="215">
        <f>MACRO!A74</f>
        <v>60</v>
      </c>
      <c r="G799" s="72" t="str">
        <f t="shared" si="79"/>
        <v/>
      </c>
      <c r="L799" s="209"/>
      <c r="N799" s="209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6">
        <f t="shared" si="82"/>
        <v>60</v>
      </c>
      <c r="E800" s="37">
        <f>MACRO!$B$74</f>
        <v>0</v>
      </c>
      <c r="G800" s="72" t="str">
        <f t="shared" si="79"/>
        <v/>
      </c>
      <c r="L800" s="209"/>
      <c r="N800" s="209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6">
        <f t="shared" si="82"/>
        <v>60</v>
      </c>
      <c r="E801" t="s">
        <v>54</v>
      </c>
      <c r="F801" s="14"/>
      <c r="G801" s="72" t="str">
        <f t="shared" si="79"/>
        <v/>
      </c>
      <c r="L801" s="209"/>
      <c r="N801" s="209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6">
        <f t="shared" si="82"/>
        <v>60</v>
      </c>
      <c r="E802" s="65">
        <f>MACRO!$C$74</f>
        <v>0</v>
      </c>
      <c r="G802" s="72" t="str">
        <f t="shared" si="79"/>
        <v/>
      </c>
      <c r="L802" s="209"/>
      <c r="N802" s="209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6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9"/>
      <c r="N803" s="209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6">
        <f t="shared" si="82"/>
        <v>60</v>
      </c>
      <c r="E804" s="211">
        <f>MACRO!$F$74</f>
        <v>0</v>
      </c>
      <c r="G804" s="72" t="str">
        <f t="shared" ref="G804:G867" si="86">IF($A804="go",CONCATENATE($B804,";",$C804,";",$D804,";",$E804),"")</f>
        <v/>
      </c>
      <c r="L804" s="209"/>
      <c r="N804" s="209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6">
        <f t="shared" si="82"/>
        <v>60</v>
      </c>
      <c r="E805" s="212">
        <f>MACRO!$G$74</f>
        <v>0</v>
      </c>
      <c r="G805" s="72" t="str">
        <f t="shared" si="86"/>
        <v/>
      </c>
      <c r="L805" s="209"/>
      <c r="N805" s="209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6">
        <f t="shared" si="82"/>
        <v>60</v>
      </c>
      <c r="E806" s="71">
        <f>ROUND(MACRO!$J$74,2)</f>
        <v>0</v>
      </c>
      <c r="G806" s="72" t="str">
        <f t="shared" si="86"/>
        <v/>
      </c>
      <c r="L806" s="209"/>
      <c r="N806" s="209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6">
        <f t="shared" si="82"/>
        <v>60</v>
      </c>
      <c r="E807" s="1">
        <f>IF($E$41=10,1000,9996)</f>
        <v>1000</v>
      </c>
      <c r="F807" s="14"/>
      <c r="G807" s="72" t="str">
        <f t="shared" si="86"/>
        <v/>
      </c>
      <c r="L807" s="209"/>
      <c r="N807" s="209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6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9"/>
      <c r="N808" s="209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6">
        <f t="shared" si="82"/>
        <v>60</v>
      </c>
      <c r="E809" s="210">
        <f>MACRO!I74</f>
        <v>0</v>
      </c>
      <c r="F809" s="14"/>
      <c r="G809" s="72" t="str">
        <f t="shared" si="86"/>
        <v/>
      </c>
      <c r="L809" s="209"/>
      <c r="N809" s="209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6">
        <f t="shared" si="82"/>
        <v>60</v>
      </c>
      <c r="E810" s="71">
        <f>ROUND(MACRO!$I$74,2)</f>
        <v>0</v>
      </c>
      <c r="G810" s="72" t="str">
        <f t="shared" si="86"/>
        <v/>
      </c>
      <c r="L810" s="209"/>
      <c r="N810" s="209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6">
        <f t="shared" si="82"/>
        <v>60</v>
      </c>
      <c r="E811" s="11">
        <f>MACRO!E74</f>
        <v>0</v>
      </c>
      <c r="G811" s="72" t="str">
        <f t="shared" si="86"/>
        <v/>
      </c>
      <c r="L811" s="209"/>
      <c r="N811" s="209"/>
    </row>
    <row r="812" spans="1:14" x14ac:dyDescent="0.25">
      <c r="A812" t="str">
        <f>A813</f>
        <v>null</v>
      </c>
      <c r="B812" t="s">
        <v>37</v>
      </c>
      <c r="C812" t="s">
        <v>38</v>
      </c>
      <c r="D812" s="206">
        <f t="shared" si="82"/>
        <v>61</v>
      </c>
      <c r="E812" s="215">
        <f>MACRO!A75</f>
        <v>61</v>
      </c>
      <c r="G812" s="72" t="str">
        <f t="shared" si="86"/>
        <v/>
      </c>
      <c r="L812" s="209"/>
      <c r="N812" s="209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6">
        <f t="shared" si="82"/>
        <v>61</v>
      </c>
      <c r="E813" s="37">
        <f>MACRO!$B$75</f>
        <v>0</v>
      </c>
      <c r="G813" s="72" t="str">
        <f t="shared" si="86"/>
        <v/>
      </c>
      <c r="L813" s="209"/>
      <c r="N813" s="209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6">
        <f t="shared" si="82"/>
        <v>61</v>
      </c>
      <c r="E814" t="s">
        <v>54</v>
      </c>
      <c r="F814" s="14"/>
      <c r="G814" s="72" t="str">
        <f t="shared" si="86"/>
        <v/>
      </c>
      <c r="L814" s="209"/>
      <c r="N814" s="209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6">
        <f t="shared" si="82"/>
        <v>61</v>
      </c>
      <c r="E815" s="65">
        <f>MACRO!$C$75</f>
        <v>0</v>
      </c>
      <c r="G815" s="72" t="str">
        <f t="shared" si="86"/>
        <v/>
      </c>
      <c r="L815" s="209"/>
      <c r="N815" s="209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6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9"/>
      <c r="N816" s="209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6">
        <f t="shared" si="82"/>
        <v>61</v>
      </c>
      <c r="E817" s="211">
        <f>MACRO!$F$75</f>
        <v>0</v>
      </c>
      <c r="G817" s="72" t="str">
        <f t="shared" si="86"/>
        <v/>
      </c>
      <c r="L817" s="209"/>
      <c r="N817" s="209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6">
        <f t="shared" si="82"/>
        <v>61</v>
      </c>
      <c r="E818" s="212">
        <f>MACRO!$G$75</f>
        <v>0</v>
      </c>
      <c r="G818" s="72" t="str">
        <f t="shared" si="86"/>
        <v/>
      </c>
      <c r="L818" s="209"/>
      <c r="N818" s="209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6">
        <f t="shared" si="82"/>
        <v>61</v>
      </c>
      <c r="E819" s="71">
        <f>ROUND(MACRO!$J$75,2)</f>
        <v>0</v>
      </c>
      <c r="G819" s="72" t="str">
        <f t="shared" si="86"/>
        <v/>
      </c>
      <c r="L819" s="209"/>
      <c r="N819" s="209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6">
        <f t="shared" si="82"/>
        <v>61</v>
      </c>
      <c r="E820" s="1">
        <f>IF($E$41=10,1000,9996)</f>
        <v>1000</v>
      </c>
      <c r="F820" s="14"/>
      <c r="G820" s="72" t="str">
        <f t="shared" si="86"/>
        <v/>
      </c>
      <c r="L820" s="209"/>
      <c r="N820" s="209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6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9"/>
      <c r="N821" s="209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6">
        <f t="shared" si="82"/>
        <v>61</v>
      </c>
      <c r="E822" s="210">
        <f>MACRO!I75</f>
        <v>0</v>
      </c>
      <c r="F822" s="14"/>
      <c r="G822" s="72" t="str">
        <f t="shared" si="86"/>
        <v/>
      </c>
      <c r="L822" s="209"/>
      <c r="N822" s="209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6">
        <f t="shared" si="82"/>
        <v>61</v>
      </c>
      <c r="E823" s="71">
        <f>ROUND(MACRO!$I$75,2)</f>
        <v>0</v>
      </c>
      <c r="G823" s="72" t="str">
        <f t="shared" si="86"/>
        <v/>
      </c>
      <c r="L823" s="209"/>
      <c r="N823" s="209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6">
        <f t="shared" si="82"/>
        <v>61</v>
      </c>
      <c r="E824" s="11">
        <f>MACRO!E75</f>
        <v>0</v>
      </c>
      <c r="G824" s="72" t="str">
        <f t="shared" si="86"/>
        <v/>
      </c>
      <c r="L824" s="209"/>
      <c r="N824" s="209"/>
    </row>
    <row r="825" spans="1:14" x14ac:dyDescent="0.25">
      <c r="A825" t="str">
        <f>A826</f>
        <v>null</v>
      </c>
      <c r="B825" t="s">
        <v>37</v>
      </c>
      <c r="C825" t="s">
        <v>38</v>
      </c>
      <c r="D825" s="206">
        <f t="shared" si="82"/>
        <v>62</v>
      </c>
      <c r="E825" s="215">
        <f>MACRO!A76</f>
        <v>62</v>
      </c>
      <c r="G825" s="72" t="str">
        <f t="shared" si="86"/>
        <v/>
      </c>
      <c r="L825" s="209"/>
      <c r="N825" s="209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6">
        <f t="shared" si="82"/>
        <v>62</v>
      </c>
      <c r="E826" s="37">
        <f>MACRO!$B$76</f>
        <v>0</v>
      </c>
      <c r="G826" s="72" t="str">
        <f t="shared" si="86"/>
        <v/>
      </c>
      <c r="L826" s="209"/>
      <c r="N826" s="209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6">
        <f t="shared" si="82"/>
        <v>62</v>
      </c>
      <c r="E827" t="s">
        <v>54</v>
      </c>
      <c r="F827" s="14"/>
      <c r="G827" s="72" t="str">
        <f t="shared" si="86"/>
        <v/>
      </c>
      <c r="L827" s="209"/>
      <c r="N827" s="209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6">
        <f t="shared" si="82"/>
        <v>62</v>
      </c>
      <c r="E828" s="65">
        <f>MACRO!$C$76</f>
        <v>0</v>
      </c>
      <c r="G828" s="72" t="str">
        <f t="shared" si="86"/>
        <v/>
      </c>
      <c r="L828" s="209"/>
      <c r="N828" s="209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6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9"/>
      <c r="N829" s="209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6">
        <f t="shared" si="82"/>
        <v>62</v>
      </c>
      <c r="E830" s="211">
        <f>MACRO!$F$76</f>
        <v>0</v>
      </c>
      <c r="G830" s="72" t="str">
        <f t="shared" si="86"/>
        <v/>
      </c>
      <c r="L830" s="209"/>
      <c r="N830" s="209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6">
        <f t="shared" si="82"/>
        <v>62</v>
      </c>
      <c r="E831" s="212">
        <f>MACRO!$G$76</f>
        <v>0</v>
      </c>
      <c r="G831" s="72" t="str">
        <f t="shared" si="86"/>
        <v/>
      </c>
      <c r="L831" s="209"/>
      <c r="N831" s="209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6">
        <f t="shared" si="82"/>
        <v>62</v>
      </c>
      <c r="E832" s="71">
        <f>ROUND(MACRO!$J$76,2)</f>
        <v>0</v>
      </c>
      <c r="G832" s="72" t="str">
        <f t="shared" si="86"/>
        <v/>
      </c>
      <c r="L832" s="209"/>
      <c r="N832" s="209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6">
        <f t="shared" ref="D833:D896" si="89">IF(C833="NroLinDet",D832+1,D832)</f>
        <v>62</v>
      </c>
      <c r="E833" s="1">
        <f>IF($E$41=10,1000,9996)</f>
        <v>1000</v>
      </c>
      <c r="F833" s="14"/>
      <c r="G833" s="72" t="str">
        <f t="shared" si="86"/>
        <v/>
      </c>
      <c r="L833" s="209"/>
      <c r="N833" s="209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6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9"/>
      <c r="N834" s="209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6">
        <f t="shared" si="89"/>
        <v>62</v>
      </c>
      <c r="E835" s="210">
        <f>MACRO!I76</f>
        <v>0</v>
      </c>
      <c r="F835" s="14"/>
      <c r="G835" s="72" t="str">
        <f t="shared" si="86"/>
        <v/>
      </c>
      <c r="L835" s="209"/>
      <c r="N835" s="209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6">
        <f t="shared" si="89"/>
        <v>62</v>
      </c>
      <c r="E836" s="71">
        <f>ROUND(MACRO!$I$76,2)</f>
        <v>0</v>
      </c>
      <c r="G836" s="72" t="str">
        <f t="shared" si="86"/>
        <v/>
      </c>
      <c r="L836" s="209"/>
      <c r="N836" s="209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6">
        <f t="shared" si="89"/>
        <v>62</v>
      </c>
      <c r="E837" s="11">
        <f>MACRO!E76</f>
        <v>0</v>
      </c>
      <c r="G837" s="72" t="str">
        <f t="shared" si="86"/>
        <v/>
      </c>
      <c r="L837" s="209"/>
      <c r="N837" s="209"/>
    </row>
    <row r="838" spans="1:14" x14ac:dyDescent="0.25">
      <c r="A838" t="str">
        <f>A839</f>
        <v>null</v>
      </c>
      <c r="B838" t="s">
        <v>37</v>
      </c>
      <c r="C838" t="s">
        <v>38</v>
      </c>
      <c r="D838" s="206">
        <f t="shared" si="89"/>
        <v>63</v>
      </c>
      <c r="E838" s="215">
        <f>MACRO!A77</f>
        <v>63</v>
      </c>
      <c r="G838" s="72" t="str">
        <f t="shared" si="86"/>
        <v/>
      </c>
      <c r="L838" s="209"/>
      <c r="N838" s="209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6">
        <f t="shared" si="89"/>
        <v>63</v>
      </c>
      <c r="E839" s="37">
        <f>MACRO!$B$77</f>
        <v>0</v>
      </c>
      <c r="G839" s="72" t="str">
        <f t="shared" si="86"/>
        <v/>
      </c>
      <c r="L839" s="209"/>
      <c r="N839" s="209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6">
        <f t="shared" si="89"/>
        <v>63</v>
      </c>
      <c r="E840" t="s">
        <v>54</v>
      </c>
      <c r="F840" s="14"/>
      <c r="G840" s="72" t="str">
        <f t="shared" si="86"/>
        <v/>
      </c>
      <c r="L840" s="209"/>
      <c r="N840" s="209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6">
        <f t="shared" si="89"/>
        <v>63</v>
      </c>
      <c r="E841" s="65">
        <f>MACRO!$C$77</f>
        <v>0</v>
      </c>
      <c r="G841" s="72" t="str">
        <f t="shared" si="86"/>
        <v/>
      </c>
      <c r="L841" s="209"/>
      <c r="N841" s="209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6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9"/>
      <c r="N842" s="209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6">
        <f t="shared" si="89"/>
        <v>63</v>
      </c>
      <c r="E843" s="211">
        <f>MACRO!$F$77</f>
        <v>0</v>
      </c>
      <c r="G843" s="72" t="str">
        <f t="shared" si="86"/>
        <v/>
      </c>
      <c r="L843" s="209"/>
      <c r="N843" s="209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6">
        <f t="shared" si="89"/>
        <v>63</v>
      </c>
      <c r="E844" s="212">
        <f>MACRO!$G$77</f>
        <v>0</v>
      </c>
      <c r="G844" s="72" t="str">
        <f t="shared" si="86"/>
        <v/>
      </c>
      <c r="L844" s="209"/>
      <c r="N844" s="209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6">
        <f t="shared" si="89"/>
        <v>63</v>
      </c>
      <c r="E845" s="71">
        <f>ROUND(MACRO!$J$77,2)</f>
        <v>0</v>
      </c>
      <c r="G845" s="72" t="str">
        <f t="shared" si="86"/>
        <v/>
      </c>
      <c r="L845" s="209"/>
      <c r="N845" s="209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6">
        <f t="shared" si="89"/>
        <v>63</v>
      </c>
      <c r="E846" s="1">
        <f>IF($E$41=10,1000,9996)</f>
        <v>1000</v>
      </c>
      <c r="F846" s="14"/>
      <c r="G846" s="72" t="str">
        <f t="shared" si="86"/>
        <v/>
      </c>
      <c r="L846" s="209"/>
      <c r="N846" s="209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6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9"/>
      <c r="N847" s="209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6">
        <f t="shared" si="89"/>
        <v>63</v>
      </c>
      <c r="E848" s="210">
        <f>MACRO!I77</f>
        <v>0</v>
      </c>
      <c r="F848" s="14"/>
      <c r="G848" s="72" t="str">
        <f t="shared" si="86"/>
        <v/>
      </c>
      <c r="L848" s="209"/>
      <c r="N848" s="209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6">
        <f t="shared" si="89"/>
        <v>63</v>
      </c>
      <c r="E849" s="71">
        <f>ROUND(MACRO!$I$77,2)</f>
        <v>0</v>
      </c>
      <c r="G849" s="72" t="str">
        <f t="shared" si="86"/>
        <v/>
      </c>
      <c r="L849" s="209"/>
      <c r="N849" s="209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6">
        <f t="shared" si="89"/>
        <v>63</v>
      </c>
      <c r="E850" s="11">
        <f>MACRO!E77</f>
        <v>0</v>
      </c>
      <c r="G850" s="72" t="str">
        <f t="shared" si="86"/>
        <v/>
      </c>
      <c r="L850" s="209"/>
      <c r="N850" s="209"/>
    </row>
    <row r="851" spans="1:14" x14ac:dyDescent="0.25">
      <c r="A851" t="str">
        <f>A852</f>
        <v>null</v>
      </c>
      <c r="B851" t="s">
        <v>37</v>
      </c>
      <c r="C851" t="s">
        <v>38</v>
      </c>
      <c r="D851" s="206">
        <f t="shared" si="89"/>
        <v>64</v>
      </c>
      <c r="E851" s="215">
        <f>MACRO!A78</f>
        <v>64</v>
      </c>
      <c r="G851" s="72" t="str">
        <f t="shared" si="86"/>
        <v/>
      </c>
      <c r="L851" s="209"/>
      <c r="N851" s="209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6">
        <f t="shared" si="89"/>
        <v>64</v>
      </c>
      <c r="E852" s="37">
        <f>MACRO!$B$78</f>
        <v>0</v>
      </c>
      <c r="G852" s="72" t="str">
        <f t="shared" si="86"/>
        <v/>
      </c>
      <c r="L852" s="209"/>
      <c r="N852" s="209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6">
        <f t="shared" si="89"/>
        <v>64</v>
      </c>
      <c r="E853" t="s">
        <v>54</v>
      </c>
      <c r="F853" s="14"/>
      <c r="G853" s="72" t="str">
        <f t="shared" si="86"/>
        <v/>
      </c>
      <c r="L853" s="209"/>
      <c r="N853" s="209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6">
        <f t="shared" si="89"/>
        <v>64</v>
      </c>
      <c r="E854" s="65">
        <f>MACRO!$C$78</f>
        <v>0</v>
      </c>
      <c r="G854" s="72" t="str">
        <f t="shared" si="86"/>
        <v/>
      </c>
      <c r="L854" s="209"/>
      <c r="N854" s="209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6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9"/>
      <c r="N855" s="209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6">
        <f t="shared" si="89"/>
        <v>64</v>
      </c>
      <c r="E856" s="211">
        <f>MACRO!$F$78</f>
        <v>0</v>
      </c>
      <c r="G856" s="72" t="str">
        <f t="shared" si="86"/>
        <v/>
      </c>
      <c r="L856" s="209"/>
      <c r="N856" s="209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6">
        <f t="shared" si="89"/>
        <v>64</v>
      </c>
      <c r="E857" s="212">
        <f>MACRO!$G$78</f>
        <v>0</v>
      </c>
      <c r="G857" s="72" t="str">
        <f t="shared" si="86"/>
        <v/>
      </c>
      <c r="L857" s="209"/>
      <c r="N857" s="209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6">
        <f t="shared" si="89"/>
        <v>64</v>
      </c>
      <c r="E858" s="71">
        <f>ROUND(MACRO!$J$78,2)</f>
        <v>0</v>
      </c>
      <c r="G858" s="72" t="str">
        <f t="shared" si="86"/>
        <v/>
      </c>
      <c r="L858" s="209"/>
      <c r="N858" s="209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6">
        <f t="shared" si="89"/>
        <v>64</v>
      </c>
      <c r="E859" s="1">
        <f>IF($E$41=10,1000,9996)</f>
        <v>1000</v>
      </c>
      <c r="F859" s="14"/>
      <c r="G859" s="72" t="str">
        <f t="shared" si="86"/>
        <v/>
      </c>
      <c r="L859" s="209"/>
      <c r="N859" s="209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6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9"/>
      <c r="N860" s="209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6">
        <f t="shared" si="89"/>
        <v>64</v>
      </c>
      <c r="E861" s="210">
        <f>MACRO!I78</f>
        <v>0</v>
      </c>
      <c r="F861" s="14"/>
      <c r="G861" s="72" t="str">
        <f t="shared" si="86"/>
        <v/>
      </c>
      <c r="L861" s="209"/>
      <c r="N861" s="209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6">
        <f t="shared" si="89"/>
        <v>64</v>
      </c>
      <c r="E862" s="71">
        <f>ROUND(MACRO!$I$78,2)</f>
        <v>0</v>
      </c>
      <c r="G862" s="72" t="str">
        <f t="shared" si="86"/>
        <v/>
      </c>
      <c r="L862" s="209"/>
      <c r="N862" s="209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6">
        <f t="shared" si="89"/>
        <v>64</v>
      </c>
      <c r="E863" s="11">
        <f>MACRO!E78</f>
        <v>0</v>
      </c>
      <c r="G863" s="72" t="str">
        <f t="shared" si="86"/>
        <v/>
      </c>
      <c r="L863" s="209"/>
      <c r="N863" s="209"/>
    </row>
    <row r="864" spans="1:14" x14ac:dyDescent="0.25">
      <c r="A864" t="str">
        <f>A865</f>
        <v>null</v>
      </c>
      <c r="B864" t="s">
        <v>37</v>
      </c>
      <c r="C864" t="s">
        <v>38</v>
      </c>
      <c r="D864" s="206">
        <f t="shared" si="89"/>
        <v>65</v>
      </c>
      <c r="E864" s="215">
        <f>MACRO!A79</f>
        <v>65</v>
      </c>
      <c r="G864" s="72" t="str">
        <f t="shared" si="86"/>
        <v/>
      </c>
      <c r="L864" s="209"/>
      <c r="N864" s="209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6">
        <f t="shared" si="89"/>
        <v>65</v>
      </c>
      <c r="E865" s="37">
        <f>MACRO!$B$79</f>
        <v>0</v>
      </c>
      <c r="G865" s="72" t="str">
        <f t="shared" si="86"/>
        <v/>
      </c>
      <c r="L865" s="209"/>
      <c r="N865" s="209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6">
        <f t="shared" si="89"/>
        <v>65</v>
      </c>
      <c r="E866" t="s">
        <v>54</v>
      </c>
      <c r="F866" s="14"/>
      <c r="G866" s="72" t="str">
        <f t="shared" si="86"/>
        <v/>
      </c>
      <c r="L866" s="209"/>
      <c r="N866" s="209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6">
        <f t="shared" si="89"/>
        <v>65</v>
      </c>
      <c r="E867" s="65">
        <f>MACRO!$C$79</f>
        <v>0</v>
      </c>
      <c r="G867" s="72" t="str">
        <f t="shared" si="86"/>
        <v/>
      </c>
      <c r="L867" s="209"/>
      <c r="N867" s="209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6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9"/>
      <c r="N868" s="209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6">
        <f t="shared" si="89"/>
        <v>65</v>
      </c>
      <c r="E869" s="211">
        <f>MACRO!$F$79</f>
        <v>0</v>
      </c>
      <c r="G869" s="72" t="str">
        <f t="shared" si="93"/>
        <v/>
      </c>
      <c r="L869" s="209"/>
      <c r="N869" s="209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6">
        <f t="shared" si="89"/>
        <v>65</v>
      </c>
      <c r="E870" s="212">
        <f>MACRO!$G$79</f>
        <v>0</v>
      </c>
      <c r="G870" s="72" t="str">
        <f t="shared" si="93"/>
        <v/>
      </c>
      <c r="L870" s="209"/>
      <c r="N870" s="209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6">
        <f t="shared" si="89"/>
        <v>65</v>
      </c>
      <c r="E871" s="71">
        <f>ROUND(MACRO!$J$79,2)</f>
        <v>0</v>
      </c>
      <c r="G871" s="72" t="str">
        <f t="shared" si="93"/>
        <v/>
      </c>
      <c r="L871" s="209"/>
      <c r="N871" s="209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6">
        <f t="shared" si="89"/>
        <v>65</v>
      </c>
      <c r="E872" s="1">
        <f>IF($E$41=10,1000,9996)</f>
        <v>1000</v>
      </c>
      <c r="F872" s="14"/>
      <c r="G872" s="72" t="str">
        <f t="shared" si="93"/>
        <v/>
      </c>
      <c r="L872" s="209"/>
      <c r="N872" s="209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6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9"/>
      <c r="N873" s="209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6">
        <f t="shared" si="89"/>
        <v>65</v>
      </c>
      <c r="E874" s="210">
        <f>MACRO!I79</f>
        <v>0</v>
      </c>
      <c r="F874" s="14"/>
      <c r="G874" s="72" t="str">
        <f t="shared" si="93"/>
        <v/>
      </c>
      <c r="L874" s="209"/>
      <c r="N874" s="209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6">
        <f t="shared" si="89"/>
        <v>65</v>
      </c>
      <c r="E875" s="71">
        <f>ROUND(MACRO!$I$79,2)</f>
        <v>0</v>
      </c>
      <c r="G875" s="72" t="str">
        <f t="shared" si="93"/>
        <v/>
      </c>
      <c r="L875" s="209"/>
      <c r="N875" s="209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6">
        <f t="shared" si="89"/>
        <v>65</v>
      </c>
      <c r="E876" s="11">
        <f>MACRO!E79</f>
        <v>0</v>
      </c>
      <c r="G876" s="72" t="str">
        <f t="shared" si="93"/>
        <v/>
      </c>
      <c r="L876" s="209"/>
      <c r="N876" s="209"/>
    </row>
    <row r="877" spans="1:14" x14ac:dyDescent="0.25">
      <c r="A877" t="str">
        <f>A878</f>
        <v>null</v>
      </c>
      <c r="B877" t="s">
        <v>37</v>
      </c>
      <c r="C877" t="s">
        <v>38</v>
      </c>
      <c r="D877" s="206">
        <f t="shared" si="89"/>
        <v>66</v>
      </c>
      <c r="E877" s="215">
        <f>MACRO!A80</f>
        <v>66</v>
      </c>
      <c r="G877" s="72" t="str">
        <f t="shared" si="93"/>
        <v/>
      </c>
      <c r="L877" s="209"/>
      <c r="N877" s="209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6">
        <f t="shared" si="89"/>
        <v>66</v>
      </c>
      <c r="E878" s="37">
        <f>MACRO!$B$80</f>
        <v>0</v>
      </c>
      <c r="G878" s="72" t="str">
        <f t="shared" si="93"/>
        <v/>
      </c>
      <c r="L878" s="209"/>
      <c r="N878" s="209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6">
        <f t="shared" si="89"/>
        <v>66</v>
      </c>
      <c r="E879" t="s">
        <v>54</v>
      </c>
      <c r="F879" s="14"/>
      <c r="G879" s="72" t="str">
        <f t="shared" si="93"/>
        <v/>
      </c>
      <c r="L879" s="209"/>
      <c r="N879" s="209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6">
        <f t="shared" si="89"/>
        <v>66</v>
      </c>
      <c r="E880" s="65">
        <f>MACRO!$C$80</f>
        <v>0</v>
      </c>
      <c r="G880" s="72" t="str">
        <f t="shared" si="93"/>
        <v/>
      </c>
      <c r="L880" s="209"/>
      <c r="N880" s="209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6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9"/>
      <c r="N881" s="209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6">
        <f t="shared" si="89"/>
        <v>66</v>
      </c>
      <c r="E882" s="211">
        <f>MACRO!$F$80</f>
        <v>0</v>
      </c>
      <c r="G882" s="72" t="str">
        <f t="shared" si="93"/>
        <v/>
      </c>
      <c r="L882" s="209"/>
      <c r="N882" s="209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6">
        <f t="shared" si="89"/>
        <v>66</v>
      </c>
      <c r="E883" s="212">
        <f>MACRO!$G$80</f>
        <v>0</v>
      </c>
      <c r="G883" s="72" t="str">
        <f t="shared" si="93"/>
        <v/>
      </c>
      <c r="L883" s="209"/>
      <c r="N883" s="209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6">
        <f t="shared" si="89"/>
        <v>66</v>
      </c>
      <c r="E884" s="71">
        <f>ROUND(MACRO!$J$80,2)</f>
        <v>0</v>
      </c>
      <c r="G884" s="72" t="str">
        <f t="shared" si="93"/>
        <v/>
      </c>
      <c r="L884" s="209"/>
      <c r="N884" s="209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6">
        <f t="shared" si="89"/>
        <v>66</v>
      </c>
      <c r="E885" s="1">
        <f>IF($E$41=10,1000,9996)</f>
        <v>1000</v>
      </c>
      <c r="F885" s="14"/>
      <c r="G885" s="72" t="str">
        <f t="shared" si="93"/>
        <v/>
      </c>
      <c r="L885" s="209"/>
      <c r="N885" s="209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6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9"/>
      <c r="N886" s="209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6">
        <f t="shared" si="89"/>
        <v>66</v>
      </c>
      <c r="E887" s="210">
        <f>MACRO!I80</f>
        <v>0</v>
      </c>
      <c r="F887" s="14"/>
      <c r="G887" s="72" t="str">
        <f t="shared" si="93"/>
        <v/>
      </c>
      <c r="L887" s="209"/>
      <c r="N887" s="209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6">
        <f t="shared" si="89"/>
        <v>66</v>
      </c>
      <c r="E888" s="71">
        <f>ROUND(MACRO!$I$80,2)</f>
        <v>0</v>
      </c>
      <c r="G888" s="72" t="str">
        <f t="shared" si="93"/>
        <v/>
      </c>
      <c r="L888" s="209"/>
      <c r="N888" s="209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6">
        <f t="shared" si="89"/>
        <v>66</v>
      </c>
      <c r="E889" s="11">
        <f>MACRO!E80</f>
        <v>0</v>
      </c>
      <c r="G889" s="72" t="str">
        <f t="shared" si="93"/>
        <v/>
      </c>
      <c r="L889" s="209"/>
      <c r="N889" s="209"/>
    </row>
    <row r="890" spans="1:14" x14ac:dyDescent="0.25">
      <c r="A890" t="str">
        <f>A891</f>
        <v>null</v>
      </c>
      <c r="B890" t="s">
        <v>37</v>
      </c>
      <c r="C890" t="s">
        <v>38</v>
      </c>
      <c r="D890" s="206">
        <f t="shared" si="89"/>
        <v>67</v>
      </c>
      <c r="E890" s="215">
        <f>MACRO!A81</f>
        <v>67</v>
      </c>
      <c r="G890" s="72" t="str">
        <f t="shared" si="93"/>
        <v/>
      </c>
      <c r="L890" s="209"/>
      <c r="N890" s="209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6">
        <f t="shared" si="89"/>
        <v>67</v>
      </c>
      <c r="E891" s="37">
        <f>MACRO!$B$81</f>
        <v>0</v>
      </c>
      <c r="G891" s="72" t="str">
        <f t="shared" si="93"/>
        <v/>
      </c>
      <c r="L891" s="209"/>
      <c r="N891" s="209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6">
        <f t="shared" si="89"/>
        <v>67</v>
      </c>
      <c r="E892" t="s">
        <v>54</v>
      </c>
      <c r="F892" s="14"/>
      <c r="G892" s="72" t="str">
        <f t="shared" si="93"/>
        <v/>
      </c>
      <c r="L892" s="209"/>
      <c r="N892" s="209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6">
        <f t="shared" si="89"/>
        <v>67</v>
      </c>
      <c r="E893" s="65">
        <f>MACRO!$C$81</f>
        <v>0</v>
      </c>
      <c r="G893" s="72" t="str">
        <f t="shared" si="93"/>
        <v/>
      </c>
      <c r="L893" s="209"/>
      <c r="N893" s="209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6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9"/>
      <c r="N894" s="209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6">
        <f t="shared" si="89"/>
        <v>67</v>
      </c>
      <c r="E895" s="211">
        <f>MACRO!$F$81</f>
        <v>0</v>
      </c>
      <c r="G895" s="72" t="str">
        <f t="shared" si="93"/>
        <v/>
      </c>
      <c r="L895" s="209"/>
      <c r="N895" s="209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6">
        <f t="shared" si="89"/>
        <v>67</v>
      </c>
      <c r="E896" s="212">
        <f>MACRO!$G$81</f>
        <v>0</v>
      </c>
      <c r="G896" s="72" t="str">
        <f t="shared" si="93"/>
        <v/>
      </c>
      <c r="L896" s="209"/>
      <c r="N896" s="209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6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9"/>
      <c r="N897" s="209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6">
        <f t="shared" si="96"/>
        <v>67</v>
      </c>
      <c r="E898" s="1">
        <f>IF($E$41=10,1000,9996)</f>
        <v>1000</v>
      </c>
      <c r="F898" s="14"/>
      <c r="G898" s="72" t="str">
        <f t="shared" si="93"/>
        <v/>
      </c>
      <c r="L898" s="209"/>
      <c r="N898" s="209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6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9"/>
      <c r="N899" s="209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6">
        <f t="shared" si="96"/>
        <v>67</v>
      </c>
      <c r="E900" s="210">
        <f>MACRO!I81</f>
        <v>0</v>
      </c>
      <c r="F900" s="14"/>
      <c r="G900" s="72" t="str">
        <f t="shared" si="93"/>
        <v/>
      </c>
      <c r="L900" s="209"/>
      <c r="N900" s="209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6">
        <f t="shared" si="96"/>
        <v>67</v>
      </c>
      <c r="E901" s="71">
        <f>ROUND(MACRO!$I$81,2)</f>
        <v>0</v>
      </c>
      <c r="G901" s="72" t="str">
        <f t="shared" si="93"/>
        <v/>
      </c>
      <c r="L901" s="209"/>
      <c r="N901" s="209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6">
        <f t="shared" si="96"/>
        <v>67</v>
      </c>
      <c r="E902" s="11">
        <f>MACRO!E81</f>
        <v>0</v>
      </c>
      <c r="G902" s="72" t="str">
        <f t="shared" si="93"/>
        <v/>
      </c>
      <c r="L902" s="209"/>
      <c r="N902" s="209"/>
    </row>
    <row r="903" spans="1:14" x14ac:dyDescent="0.25">
      <c r="A903" t="str">
        <f>A904</f>
        <v>null</v>
      </c>
      <c r="B903" t="s">
        <v>37</v>
      </c>
      <c r="C903" t="s">
        <v>38</v>
      </c>
      <c r="D903" s="206">
        <f t="shared" si="96"/>
        <v>68</v>
      </c>
      <c r="E903" s="215">
        <f>MACRO!A82</f>
        <v>68</v>
      </c>
      <c r="G903" s="72" t="str">
        <f t="shared" si="93"/>
        <v/>
      </c>
      <c r="L903" s="209"/>
      <c r="N903" s="209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6">
        <f t="shared" si="96"/>
        <v>68</v>
      </c>
      <c r="E904" s="37">
        <f>MACRO!$B$82</f>
        <v>0</v>
      </c>
      <c r="G904" s="72" t="str">
        <f t="shared" si="93"/>
        <v/>
      </c>
      <c r="L904" s="209"/>
      <c r="N904" s="209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6">
        <f t="shared" si="96"/>
        <v>68</v>
      </c>
      <c r="E905" t="s">
        <v>54</v>
      </c>
      <c r="F905" s="14"/>
      <c r="G905" s="72" t="str">
        <f t="shared" si="93"/>
        <v/>
      </c>
      <c r="L905" s="209"/>
      <c r="N905" s="209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6">
        <f t="shared" si="96"/>
        <v>68</v>
      </c>
      <c r="E906" s="65">
        <f>MACRO!$C$82</f>
        <v>0</v>
      </c>
      <c r="G906" s="72" t="str">
        <f t="shared" si="93"/>
        <v/>
      </c>
      <c r="L906" s="209"/>
      <c r="N906" s="209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6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9"/>
      <c r="N907" s="209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6">
        <f t="shared" si="96"/>
        <v>68</v>
      </c>
      <c r="E908" s="211">
        <f>MACRO!$F$82</f>
        <v>0</v>
      </c>
      <c r="G908" s="72" t="str">
        <f t="shared" si="93"/>
        <v/>
      </c>
      <c r="L908" s="209"/>
      <c r="N908" s="209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6">
        <f t="shared" si="96"/>
        <v>68</v>
      </c>
      <c r="E909" s="212">
        <f>MACRO!$G$82</f>
        <v>0</v>
      </c>
      <c r="G909" s="72" t="str">
        <f t="shared" si="93"/>
        <v/>
      </c>
      <c r="L909" s="209"/>
      <c r="N909" s="209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6">
        <f t="shared" si="96"/>
        <v>68</v>
      </c>
      <c r="E910" s="71">
        <f>ROUND(MACRO!$J$82,2)</f>
        <v>0</v>
      </c>
      <c r="G910" s="72" t="str">
        <f t="shared" si="93"/>
        <v/>
      </c>
      <c r="L910" s="209"/>
      <c r="N910" s="209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6">
        <f t="shared" si="96"/>
        <v>68</v>
      </c>
      <c r="E911" s="1">
        <f>IF($E$41=10,1000,9996)</f>
        <v>1000</v>
      </c>
      <c r="F911" s="14"/>
      <c r="G911" s="72" t="str">
        <f t="shared" si="93"/>
        <v/>
      </c>
      <c r="L911" s="209"/>
      <c r="N911" s="209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6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9"/>
      <c r="N912" s="209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6">
        <f t="shared" si="96"/>
        <v>68</v>
      </c>
      <c r="E913" s="210">
        <f>MACRO!I82</f>
        <v>0</v>
      </c>
      <c r="F913" s="14"/>
      <c r="G913" s="72" t="str">
        <f t="shared" si="93"/>
        <v/>
      </c>
      <c r="L913" s="209"/>
      <c r="N913" s="209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6">
        <f t="shared" si="96"/>
        <v>68</v>
      </c>
      <c r="E914" s="71">
        <f>ROUND(MACRO!$I$82,2)</f>
        <v>0</v>
      </c>
      <c r="G914" s="72" t="str">
        <f t="shared" si="93"/>
        <v/>
      </c>
      <c r="L914" s="209"/>
      <c r="N914" s="209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6">
        <f t="shared" si="96"/>
        <v>68</v>
      </c>
      <c r="E915" s="11">
        <f>MACRO!E82</f>
        <v>0</v>
      </c>
      <c r="G915" s="72" t="str">
        <f t="shared" si="93"/>
        <v/>
      </c>
      <c r="L915" s="209"/>
      <c r="N915" s="209"/>
    </row>
    <row r="916" spans="1:14" x14ac:dyDescent="0.25">
      <c r="A916" t="str">
        <f>A917</f>
        <v>null</v>
      </c>
      <c r="B916" t="s">
        <v>37</v>
      </c>
      <c r="C916" t="s">
        <v>38</v>
      </c>
      <c r="D916" s="206">
        <f t="shared" si="96"/>
        <v>69</v>
      </c>
      <c r="E916" s="215">
        <f>MACRO!A83</f>
        <v>69</v>
      </c>
      <c r="G916" s="72" t="str">
        <f t="shared" si="93"/>
        <v/>
      </c>
      <c r="L916" s="209"/>
      <c r="N916" s="209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6">
        <f t="shared" si="96"/>
        <v>69</v>
      </c>
      <c r="E917" s="37">
        <f>MACRO!$B$83</f>
        <v>0</v>
      </c>
      <c r="G917" s="72" t="str">
        <f t="shared" si="93"/>
        <v/>
      </c>
      <c r="L917" s="209"/>
      <c r="N917" s="209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6">
        <f t="shared" si="96"/>
        <v>69</v>
      </c>
      <c r="E918" t="s">
        <v>54</v>
      </c>
      <c r="F918" s="14"/>
      <c r="G918" s="72" t="str">
        <f t="shared" si="93"/>
        <v/>
      </c>
      <c r="L918" s="209"/>
      <c r="N918" s="209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6">
        <f t="shared" si="96"/>
        <v>69</v>
      </c>
      <c r="E919" s="65">
        <f>MACRO!$C$83</f>
        <v>0</v>
      </c>
      <c r="G919" s="72" t="str">
        <f t="shared" si="93"/>
        <v/>
      </c>
      <c r="L919" s="209"/>
      <c r="N919" s="209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6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9"/>
      <c r="N920" s="209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6">
        <f t="shared" si="96"/>
        <v>69</v>
      </c>
      <c r="E921" s="211">
        <f>MACRO!$F$83</f>
        <v>0</v>
      </c>
      <c r="G921" s="72" t="str">
        <f t="shared" si="93"/>
        <v/>
      </c>
      <c r="L921" s="209"/>
      <c r="N921" s="209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6">
        <f t="shared" si="96"/>
        <v>69</v>
      </c>
      <c r="E922" s="212">
        <f>MACRO!$G$83</f>
        <v>0</v>
      </c>
      <c r="G922" s="72" t="str">
        <f t="shared" si="93"/>
        <v/>
      </c>
      <c r="L922" s="209"/>
      <c r="N922" s="209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6">
        <f t="shared" si="96"/>
        <v>69</v>
      </c>
      <c r="E923" s="71">
        <f>ROUND(MACRO!$J$83,2)</f>
        <v>0</v>
      </c>
      <c r="G923" s="72" t="str">
        <f t="shared" si="93"/>
        <v/>
      </c>
      <c r="L923" s="209"/>
      <c r="N923" s="209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6">
        <f t="shared" si="96"/>
        <v>69</v>
      </c>
      <c r="E924" s="1">
        <f>IF($E$41=10,1000,9996)</f>
        <v>1000</v>
      </c>
      <c r="F924" s="14"/>
      <c r="G924" s="72" t="str">
        <f t="shared" si="93"/>
        <v/>
      </c>
      <c r="L924" s="209"/>
      <c r="N924" s="209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6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9"/>
      <c r="N925" s="209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6">
        <f t="shared" si="96"/>
        <v>69</v>
      </c>
      <c r="E926" s="210">
        <f>MACRO!I83</f>
        <v>0</v>
      </c>
      <c r="F926" s="14"/>
      <c r="G926" s="72" t="str">
        <f t="shared" si="93"/>
        <v/>
      </c>
      <c r="L926" s="209"/>
      <c r="N926" s="209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6">
        <f t="shared" si="96"/>
        <v>69</v>
      </c>
      <c r="E927" s="71">
        <f>ROUND(MACRO!$I$83,2)</f>
        <v>0</v>
      </c>
      <c r="G927" s="72" t="str">
        <f t="shared" si="93"/>
        <v/>
      </c>
      <c r="L927" s="209"/>
      <c r="N927" s="209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6">
        <f t="shared" si="96"/>
        <v>69</v>
      </c>
      <c r="E928" s="11">
        <f>MACRO!E83</f>
        <v>0</v>
      </c>
      <c r="G928" s="72" t="str">
        <f t="shared" si="93"/>
        <v/>
      </c>
      <c r="L928" s="209"/>
      <c r="N928" s="209"/>
    </row>
    <row r="929" spans="1:14" x14ac:dyDescent="0.25">
      <c r="A929" t="str">
        <f>A930</f>
        <v>null</v>
      </c>
      <c r="B929" t="s">
        <v>37</v>
      </c>
      <c r="C929" t="s">
        <v>38</v>
      </c>
      <c r="D929" s="206">
        <f t="shared" si="96"/>
        <v>70</v>
      </c>
      <c r="E929" s="215">
        <f>MACRO!A84</f>
        <v>70</v>
      </c>
      <c r="G929" s="72" t="str">
        <f t="shared" si="93"/>
        <v/>
      </c>
      <c r="L929" s="209"/>
      <c r="N929" s="209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6">
        <f t="shared" si="96"/>
        <v>70</v>
      </c>
      <c r="E930" s="37">
        <f>MACRO!$B$84</f>
        <v>0</v>
      </c>
      <c r="G930" s="72" t="str">
        <f t="shared" si="93"/>
        <v/>
      </c>
      <c r="L930" s="209"/>
      <c r="N930" s="209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6">
        <f t="shared" si="96"/>
        <v>70</v>
      </c>
      <c r="E931" t="s">
        <v>54</v>
      </c>
      <c r="F931" s="14"/>
      <c r="G931" s="72" t="str">
        <f t="shared" si="93"/>
        <v/>
      </c>
      <c r="L931" s="209"/>
      <c r="N931" s="209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6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9"/>
      <c r="N932" s="209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6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9"/>
      <c r="N933" s="209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6">
        <f t="shared" si="96"/>
        <v>70</v>
      </c>
      <c r="E934" s="211">
        <f>MACRO!$F$84</f>
        <v>0</v>
      </c>
      <c r="G934" s="72" t="str">
        <f t="shared" si="100"/>
        <v/>
      </c>
      <c r="L934" s="209"/>
      <c r="N934" s="209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6">
        <f t="shared" si="96"/>
        <v>70</v>
      </c>
      <c r="E935" s="212">
        <f>MACRO!$G$84</f>
        <v>0</v>
      </c>
      <c r="G935" s="72" t="str">
        <f t="shared" si="100"/>
        <v/>
      </c>
      <c r="L935" s="209"/>
      <c r="N935" s="209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6">
        <f t="shared" si="96"/>
        <v>70</v>
      </c>
      <c r="E936" s="71">
        <f>ROUND(MACRO!$J$84,2)</f>
        <v>0</v>
      </c>
      <c r="G936" s="72" t="str">
        <f t="shared" si="100"/>
        <v/>
      </c>
      <c r="L936" s="209"/>
      <c r="N936" s="209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6">
        <f t="shared" si="96"/>
        <v>70</v>
      </c>
      <c r="E937" s="1">
        <f>IF($E$41=10,1000,9996)</f>
        <v>1000</v>
      </c>
      <c r="F937" s="14"/>
      <c r="G937" s="72" t="str">
        <f t="shared" si="100"/>
        <v/>
      </c>
      <c r="L937" s="209"/>
      <c r="N937" s="209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6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9"/>
      <c r="N938" s="209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6">
        <f t="shared" si="96"/>
        <v>70</v>
      </c>
      <c r="E939" s="210">
        <f>MACRO!I84</f>
        <v>0</v>
      </c>
      <c r="F939" s="14"/>
      <c r="G939" s="72" t="str">
        <f t="shared" si="100"/>
        <v/>
      </c>
      <c r="L939" s="209"/>
      <c r="N939" s="209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6">
        <f t="shared" si="96"/>
        <v>70</v>
      </c>
      <c r="E940" s="71">
        <f>ROUND(MACRO!$I$84,2)</f>
        <v>0</v>
      </c>
      <c r="G940" s="72" t="str">
        <f t="shared" si="100"/>
        <v/>
      </c>
      <c r="L940" s="209"/>
      <c r="N940" s="209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6">
        <f t="shared" si="96"/>
        <v>70</v>
      </c>
      <c r="E941" s="11">
        <f>MACRO!E84</f>
        <v>0</v>
      </c>
      <c r="G941" s="72" t="str">
        <f t="shared" si="100"/>
        <v/>
      </c>
      <c r="L941" s="209"/>
      <c r="N941" s="209"/>
    </row>
    <row r="942" spans="1:14" x14ac:dyDescent="0.25">
      <c r="A942" t="str">
        <f>A943</f>
        <v>null</v>
      </c>
      <c r="B942" t="s">
        <v>37</v>
      </c>
      <c r="C942" t="s">
        <v>38</v>
      </c>
      <c r="D942" s="206">
        <f t="shared" si="96"/>
        <v>71</v>
      </c>
      <c r="E942" s="215">
        <f>MACRO!A85</f>
        <v>71</v>
      </c>
      <c r="G942" s="72" t="str">
        <f t="shared" si="100"/>
        <v/>
      </c>
      <c r="L942" s="209"/>
      <c r="N942" s="209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6">
        <f t="shared" si="96"/>
        <v>71</v>
      </c>
      <c r="E943" s="37">
        <f>MACRO!$B$85</f>
        <v>0</v>
      </c>
      <c r="G943" s="72" t="str">
        <f t="shared" si="100"/>
        <v/>
      </c>
      <c r="L943" s="209"/>
      <c r="N943" s="209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6">
        <f t="shared" si="96"/>
        <v>71</v>
      </c>
      <c r="E944" t="s">
        <v>54</v>
      </c>
      <c r="F944" s="14"/>
      <c r="G944" s="72" t="str">
        <f t="shared" si="100"/>
        <v/>
      </c>
      <c r="L944" s="209"/>
      <c r="N944" s="209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6">
        <f t="shared" si="96"/>
        <v>71</v>
      </c>
      <c r="E945" s="65">
        <f>MACRO!$C$85</f>
        <v>0</v>
      </c>
      <c r="G945" s="72" t="str">
        <f t="shared" si="100"/>
        <v/>
      </c>
      <c r="L945" s="209"/>
      <c r="N945" s="209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6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9"/>
      <c r="N946" s="209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6">
        <f t="shared" si="96"/>
        <v>71</v>
      </c>
      <c r="E947" s="211">
        <f>MACRO!$F$85</f>
        <v>0</v>
      </c>
      <c r="G947" s="72" t="str">
        <f t="shared" si="100"/>
        <v/>
      </c>
      <c r="L947" s="209"/>
      <c r="N947" s="209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6">
        <f t="shared" si="96"/>
        <v>71</v>
      </c>
      <c r="E948" s="212">
        <f>MACRO!$G$85</f>
        <v>0</v>
      </c>
      <c r="G948" s="72" t="str">
        <f t="shared" si="100"/>
        <v/>
      </c>
      <c r="L948" s="209"/>
      <c r="N948" s="209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6">
        <f t="shared" si="96"/>
        <v>71</v>
      </c>
      <c r="E949" s="71">
        <f>ROUND(MACRO!$J$85,2)</f>
        <v>0</v>
      </c>
      <c r="G949" s="72" t="str">
        <f t="shared" si="100"/>
        <v/>
      </c>
      <c r="L949" s="209"/>
      <c r="N949" s="209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6">
        <f t="shared" si="96"/>
        <v>71</v>
      </c>
      <c r="E950" s="1">
        <f>IF($E$41=10,1000,9996)</f>
        <v>1000</v>
      </c>
      <c r="F950" s="14"/>
      <c r="G950" s="72" t="str">
        <f t="shared" si="100"/>
        <v/>
      </c>
      <c r="L950" s="209"/>
      <c r="N950" s="209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6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9"/>
      <c r="N951" s="209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6">
        <f t="shared" si="96"/>
        <v>71</v>
      </c>
      <c r="E952" s="210">
        <f>MACRO!I85</f>
        <v>0</v>
      </c>
      <c r="F952" s="14"/>
      <c r="G952" s="72" t="str">
        <f t="shared" si="100"/>
        <v/>
      </c>
      <c r="L952" s="209"/>
      <c r="N952" s="209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6">
        <f t="shared" si="96"/>
        <v>71</v>
      </c>
      <c r="E953" s="71">
        <f>ROUND(MACRO!$I$85,2)</f>
        <v>0</v>
      </c>
      <c r="G953" s="72" t="str">
        <f t="shared" si="100"/>
        <v/>
      </c>
      <c r="L953" s="209"/>
      <c r="N953" s="209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6">
        <f t="shared" si="96"/>
        <v>71</v>
      </c>
      <c r="E954" s="11">
        <f>MACRO!E85</f>
        <v>0</v>
      </c>
      <c r="G954" s="72" t="str">
        <f t="shared" si="100"/>
        <v/>
      </c>
      <c r="L954" s="209"/>
      <c r="N954" s="209"/>
    </row>
    <row r="955" spans="1:14" x14ac:dyDescent="0.25">
      <c r="A955" t="str">
        <f>A956</f>
        <v>null</v>
      </c>
      <c r="B955" t="s">
        <v>37</v>
      </c>
      <c r="C955" t="s">
        <v>38</v>
      </c>
      <c r="D955" s="206">
        <f t="shared" si="96"/>
        <v>72</v>
      </c>
      <c r="E955" s="215">
        <f>MACRO!A86</f>
        <v>72</v>
      </c>
      <c r="G955" s="72" t="str">
        <f t="shared" si="100"/>
        <v/>
      </c>
      <c r="L955" s="209"/>
      <c r="N955" s="209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6">
        <f t="shared" si="96"/>
        <v>72</v>
      </c>
      <c r="E956" s="37">
        <f>MACRO!$B$86</f>
        <v>0</v>
      </c>
      <c r="G956" s="72" t="str">
        <f t="shared" si="100"/>
        <v/>
      </c>
      <c r="L956" s="209"/>
      <c r="N956" s="209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6">
        <f t="shared" si="96"/>
        <v>72</v>
      </c>
      <c r="E957" t="s">
        <v>54</v>
      </c>
      <c r="F957" s="14"/>
      <c r="G957" s="72" t="str">
        <f t="shared" si="100"/>
        <v/>
      </c>
      <c r="L957" s="209"/>
      <c r="N957" s="209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6">
        <f t="shared" si="96"/>
        <v>72</v>
      </c>
      <c r="E958" s="65">
        <f>MACRO!$C$86</f>
        <v>0</v>
      </c>
      <c r="G958" s="72" t="str">
        <f t="shared" si="100"/>
        <v/>
      </c>
      <c r="L958" s="209"/>
      <c r="N958" s="209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6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9"/>
      <c r="N959" s="209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6">
        <f t="shared" si="96"/>
        <v>72</v>
      </c>
      <c r="E960" s="211">
        <f>MACRO!$F$86</f>
        <v>0</v>
      </c>
      <c r="G960" s="72" t="str">
        <f t="shared" si="100"/>
        <v/>
      </c>
      <c r="L960" s="209"/>
      <c r="N960" s="209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6">
        <f t="shared" ref="D961:D1024" si="103">IF(C961="NroLinDet",D960+1,D960)</f>
        <v>72</v>
      </c>
      <c r="E961" s="212">
        <f>MACRO!$G$86</f>
        <v>0</v>
      </c>
      <c r="G961" s="72" t="str">
        <f t="shared" si="100"/>
        <v/>
      </c>
      <c r="L961" s="209"/>
      <c r="N961" s="209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6">
        <f t="shared" si="103"/>
        <v>72</v>
      </c>
      <c r="E962" s="71">
        <f>ROUND(MACRO!$J$86,2)</f>
        <v>0</v>
      </c>
      <c r="G962" s="72" t="str">
        <f t="shared" si="100"/>
        <v/>
      </c>
      <c r="L962" s="209"/>
      <c r="N962" s="209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6">
        <f t="shared" si="103"/>
        <v>72</v>
      </c>
      <c r="E963" s="1">
        <f>IF($E$41=10,1000,9996)</f>
        <v>1000</v>
      </c>
      <c r="F963" s="14"/>
      <c r="G963" s="72" t="str">
        <f t="shared" si="100"/>
        <v/>
      </c>
      <c r="L963" s="209"/>
      <c r="N963" s="209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6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9"/>
      <c r="N964" s="209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6">
        <f t="shared" si="103"/>
        <v>72</v>
      </c>
      <c r="E965" s="210">
        <f>MACRO!I86</f>
        <v>0</v>
      </c>
      <c r="F965" s="14"/>
      <c r="G965" s="72" t="str">
        <f t="shared" si="100"/>
        <v/>
      </c>
      <c r="L965" s="209"/>
      <c r="N965" s="209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6">
        <f t="shared" si="103"/>
        <v>72</v>
      </c>
      <c r="E966" s="71">
        <f>ROUND(MACRO!$I$86,2)</f>
        <v>0</v>
      </c>
      <c r="G966" s="72" t="str">
        <f t="shared" si="100"/>
        <v/>
      </c>
      <c r="L966" s="209"/>
      <c r="N966" s="209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6">
        <f t="shared" si="103"/>
        <v>72</v>
      </c>
      <c r="E967" s="11">
        <f>MACRO!E86</f>
        <v>0</v>
      </c>
      <c r="G967" s="72" t="str">
        <f t="shared" si="100"/>
        <v/>
      </c>
      <c r="L967" s="209"/>
      <c r="N967" s="209"/>
    </row>
    <row r="968" spans="1:14" x14ac:dyDescent="0.25">
      <c r="A968" t="str">
        <f>A969</f>
        <v>null</v>
      </c>
      <c r="B968" t="s">
        <v>37</v>
      </c>
      <c r="C968" t="s">
        <v>38</v>
      </c>
      <c r="D968" s="206">
        <f t="shared" si="103"/>
        <v>73</v>
      </c>
      <c r="E968" s="215">
        <f>MACRO!A87</f>
        <v>73</v>
      </c>
      <c r="G968" s="72" t="str">
        <f t="shared" si="100"/>
        <v/>
      </c>
      <c r="L968" s="209"/>
      <c r="N968" s="209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6">
        <f t="shared" si="103"/>
        <v>73</v>
      </c>
      <c r="E969" s="37">
        <f>MACRO!$B$87</f>
        <v>0</v>
      </c>
      <c r="G969" s="72" t="str">
        <f t="shared" si="100"/>
        <v/>
      </c>
      <c r="L969" s="209"/>
      <c r="N969" s="209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6">
        <f t="shared" si="103"/>
        <v>73</v>
      </c>
      <c r="E970" t="s">
        <v>54</v>
      </c>
      <c r="F970" s="14"/>
      <c r="G970" s="72" t="str">
        <f t="shared" si="100"/>
        <v/>
      </c>
      <c r="L970" s="209"/>
      <c r="N970" s="209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6">
        <f t="shared" si="103"/>
        <v>73</v>
      </c>
      <c r="E971" s="65">
        <f>MACRO!$C$87</f>
        <v>0</v>
      </c>
      <c r="G971" s="72" t="str">
        <f t="shared" si="100"/>
        <v/>
      </c>
      <c r="L971" s="209"/>
      <c r="N971" s="209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6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9"/>
      <c r="N972" s="209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6">
        <f t="shared" si="103"/>
        <v>73</v>
      </c>
      <c r="E973" s="211">
        <f>MACRO!$F$87</f>
        <v>0</v>
      </c>
      <c r="G973" s="72" t="str">
        <f t="shared" si="100"/>
        <v/>
      </c>
      <c r="L973" s="209"/>
      <c r="N973" s="209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6">
        <f t="shared" si="103"/>
        <v>73</v>
      </c>
      <c r="E974" s="212">
        <f>MACRO!$G$87</f>
        <v>0</v>
      </c>
      <c r="G974" s="72" t="str">
        <f t="shared" si="100"/>
        <v/>
      </c>
      <c r="L974" s="209"/>
      <c r="N974" s="209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6">
        <f t="shared" si="103"/>
        <v>73</v>
      </c>
      <c r="E975" s="71">
        <f>ROUND(MACRO!$J$87,2)</f>
        <v>0</v>
      </c>
      <c r="G975" s="72" t="str">
        <f t="shared" si="100"/>
        <v/>
      </c>
      <c r="L975" s="209"/>
      <c r="N975" s="209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6">
        <f t="shared" si="103"/>
        <v>73</v>
      </c>
      <c r="E976" s="1">
        <f>IF($E$41=10,1000,9996)</f>
        <v>1000</v>
      </c>
      <c r="F976" s="14"/>
      <c r="G976" s="72" t="str">
        <f t="shared" si="100"/>
        <v/>
      </c>
      <c r="L976" s="209"/>
      <c r="N976" s="209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6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9"/>
      <c r="N977" s="209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6">
        <f t="shared" si="103"/>
        <v>73</v>
      </c>
      <c r="E978" s="210">
        <f>MACRO!I87</f>
        <v>0</v>
      </c>
      <c r="F978" s="14"/>
      <c r="G978" s="72" t="str">
        <f t="shared" si="100"/>
        <v/>
      </c>
      <c r="L978" s="209"/>
      <c r="N978" s="209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6">
        <f t="shared" si="103"/>
        <v>73</v>
      </c>
      <c r="E979" s="71">
        <f>ROUND(MACRO!$I$87,2)</f>
        <v>0</v>
      </c>
      <c r="G979" s="72" t="str">
        <f t="shared" si="100"/>
        <v/>
      </c>
      <c r="L979" s="209"/>
      <c r="N979" s="209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6">
        <f t="shared" si="103"/>
        <v>73</v>
      </c>
      <c r="E980" s="11">
        <f>MACRO!E87</f>
        <v>0</v>
      </c>
      <c r="G980" s="72" t="str">
        <f t="shared" si="100"/>
        <v/>
      </c>
      <c r="L980" s="209"/>
      <c r="N980" s="209"/>
    </row>
    <row r="981" spans="1:14" x14ac:dyDescent="0.25">
      <c r="A981" t="str">
        <f>A982</f>
        <v>null</v>
      </c>
      <c r="B981" t="s">
        <v>37</v>
      </c>
      <c r="C981" t="s">
        <v>38</v>
      </c>
      <c r="D981" s="206">
        <f t="shared" si="103"/>
        <v>74</v>
      </c>
      <c r="E981" s="215">
        <f>MACRO!A88</f>
        <v>74</v>
      </c>
      <c r="G981" s="72" t="str">
        <f t="shared" si="100"/>
        <v/>
      </c>
      <c r="L981" s="209"/>
      <c r="N981" s="209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6">
        <f t="shared" si="103"/>
        <v>74</v>
      </c>
      <c r="E982" s="37">
        <f>MACRO!$B$88</f>
        <v>0</v>
      </c>
      <c r="G982" s="72" t="str">
        <f t="shared" si="100"/>
        <v/>
      </c>
      <c r="L982" s="209"/>
      <c r="N982" s="209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6">
        <f t="shared" si="103"/>
        <v>74</v>
      </c>
      <c r="E983" t="s">
        <v>54</v>
      </c>
      <c r="F983" s="14"/>
      <c r="G983" s="72" t="str">
        <f t="shared" si="100"/>
        <v/>
      </c>
      <c r="L983" s="209"/>
      <c r="N983" s="209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6">
        <f t="shared" si="103"/>
        <v>74</v>
      </c>
      <c r="E984" s="65">
        <f>MACRO!$C$88</f>
        <v>0</v>
      </c>
      <c r="G984" s="72" t="str">
        <f t="shared" si="100"/>
        <v/>
      </c>
      <c r="L984" s="209"/>
      <c r="N984" s="209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6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9"/>
      <c r="N985" s="209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6">
        <f t="shared" si="103"/>
        <v>74</v>
      </c>
      <c r="E986" s="211">
        <f>MACRO!$F$88</f>
        <v>0</v>
      </c>
      <c r="G986" s="72" t="str">
        <f t="shared" si="100"/>
        <v/>
      </c>
      <c r="L986" s="209"/>
      <c r="N986" s="209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6">
        <f t="shared" si="103"/>
        <v>74</v>
      </c>
      <c r="E987" s="212">
        <f>MACRO!$G$88</f>
        <v>0</v>
      </c>
      <c r="G987" s="72" t="str">
        <f t="shared" si="100"/>
        <v/>
      </c>
      <c r="L987" s="209"/>
      <c r="N987" s="209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6">
        <f t="shared" si="103"/>
        <v>74</v>
      </c>
      <c r="E988" s="71">
        <f>ROUND(MACRO!$J$88,2)</f>
        <v>0</v>
      </c>
      <c r="G988" s="72" t="str">
        <f t="shared" si="100"/>
        <v/>
      </c>
      <c r="L988" s="209"/>
      <c r="N988" s="209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6">
        <f t="shared" si="103"/>
        <v>74</v>
      </c>
      <c r="E989" s="1">
        <f>IF($E$41=10,1000,9996)</f>
        <v>1000</v>
      </c>
      <c r="F989" s="14"/>
      <c r="G989" s="72" t="str">
        <f t="shared" si="100"/>
        <v/>
      </c>
      <c r="L989" s="209"/>
      <c r="N989" s="209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6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9"/>
      <c r="N990" s="209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6">
        <f t="shared" si="103"/>
        <v>74</v>
      </c>
      <c r="E991" s="210">
        <f>MACRO!I88</f>
        <v>0</v>
      </c>
      <c r="F991" s="14"/>
      <c r="G991" s="72" t="str">
        <f t="shared" si="100"/>
        <v/>
      </c>
      <c r="L991" s="209"/>
      <c r="N991" s="209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6">
        <f t="shared" si="103"/>
        <v>74</v>
      </c>
      <c r="E992" s="71">
        <f>ROUND(MACRO!$I$88,2)</f>
        <v>0</v>
      </c>
      <c r="G992" s="72" t="str">
        <f t="shared" si="100"/>
        <v/>
      </c>
      <c r="L992" s="209"/>
      <c r="N992" s="209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6">
        <f t="shared" si="103"/>
        <v>74</v>
      </c>
      <c r="E993" s="11">
        <f>MACRO!E88</f>
        <v>0</v>
      </c>
      <c r="G993" s="72" t="str">
        <f t="shared" si="100"/>
        <v/>
      </c>
      <c r="L993" s="209"/>
      <c r="N993" s="209"/>
    </row>
    <row r="994" spans="1:14" x14ac:dyDescent="0.25">
      <c r="A994" t="str">
        <f>A995</f>
        <v>null</v>
      </c>
      <c r="B994" t="s">
        <v>37</v>
      </c>
      <c r="C994" t="s">
        <v>38</v>
      </c>
      <c r="D994" s="206">
        <f t="shared" si="103"/>
        <v>75</v>
      </c>
      <c r="E994" s="215">
        <f>MACRO!A89</f>
        <v>75</v>
      </c>
      <c r="G994" s="72" t="str">
        <f t="shared" si="100"/>
        <v/>
      </c>
      <c r="L994" s="209"/>
      <c r="N994" s="209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6">
        <f t="shared" si="103"/>
        <v>75</v>
      </c>
      <c r="E995" s="37">
        <f>MACRO!$B$89</f>
        <v>0</v>
      </c>
      <c r="G995" s="72" t="str">
        <f t="shared" si="100"/>
        <v/>
      </c>
      <c r="L995" s="209"/>
      <c r="N995" s="209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6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9"/>
      <c r="N996" s="209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6">
        <f t="shared" si="103"/>
        <v>75</v>
      </c>
      <c r="E997" s="65">
        <f>MACRO!$C$89</f>
        <v>0</v>
      </c>
      <c r="G997" s="72" t="str">
        <f t="shared" si="107"/>
        <v/>
      </c>
      <c r="L997" s="209"/>
      <c r="N997" s="209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6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9"/>
      <c r="N998" s="209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6">
        <f t="shared" si="103"/>
        <v>75</v>
      </c>
      <c r="E999" s="211">
        <f>MACRO!$F$89</f>
        <v>0</v>
      </c>
      <c r="G999" s="72" t="str">
        <f t="shared" si="107"/>
        <v/>
      </c>
      <c r="L999" s="209"/>
      <c r="N999" s="209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6">
        <f t="shared" si="103"/>
        <v>75</v>
      </c>
      <c r="E1000" s="212">
        <f>MACRO!$G$89</f>
        <v>0</v>
      </c>
      <c r="G1000" s="72" t="str">
        <f t="shared" si="107"/>
        <v/>
      </c>
      <c r="L1000" s="209"/>
      <c r="N1000" s="209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6">
        <f t="shared" si="103"/>
        <v>75</v>
      </c>
      <c r="E1001" s="71">
        <f>ROUND(MACRO!$J$89,2)</f>
        <v>0</v>
      </c>
      <c r="G1001" s="72" t="str">
        <f t="shared" si="107"/>
        <v/>
      </c>
      <c r="L1001" s="209"/>
      <c r="N1001" s="209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6">
        <f t="shared" si="103"/>
        <v>75</v>
      </c>
      <c r="E1002" s="1">
        <f>IF($E$41=10,1000,9996)</f>
        <v>1000</v>
      </c>
      <c r="F1002" s="14"/>
      <c r="G1002" s="72" t="str">
        <f t="shared" si="107"/>
        <v/>
      </c>
      <c r="L1002" s="209"/>
      <c r="N1002" s="209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6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9"/>
      <c r="N1003" s="209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6">
        <f t="shared" si="103"/>
        <v>75</v>
      </c>
      <c r="E1004" s="210">
        <f>MACRO!I89</f>
        <v>0</v>
      </c>
      <c r="F1004" s="14"/>
      <c r="G1004" s="72" t="str">
        <f t="shared" si="107"/>
        <v/>
      </c>
      <c r="L1004" s="209"/>
      <c r="N1004" s="209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6">
        <f t="shared" si="103"/>
        <v>75</v>
      </c>
      <c r="E1005" s="71">
        <f>ROUND(MACRO!$I$89,2)</f>
        <v>0</v>
      </c>
      <c r="G1005" s="72" t="str">
        <f t="shared" si="107"/>
        <v/>
      </c>
      <c r="L1005" s="209"/>
      <c r="N1005" s="209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6">
        <f t="shared" si="103"/>
        <v>75</v>
      </c>
      <c r="E1006" s="11">
        <f>MACRO!E89</f>
        <v>0</v>
      </c>
      <c r="G1006" s="72" t="str">
        <f t="shared" si="107"/>
        <v/>
      </c>
      <c r="L1006" s="209"/>
      <c r="N1006" s="209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6">
        <f t="shared" si="103"/>
        <v>76</v>
      </c>
      <c r="E1007" s="215">
        <f>MACRO!A90</f>
        <v>76</v>
      </c>
      <c r="G1007" s="72" t="str">
        <f t="shared" si="107"/>
        <v/>
      </c>
      <c r="L1007" s="209"/>
      <c r="N1007" s="209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6">
        <f t="shared" si="103"/>
        <v>76</v>
      </c>
      <c r="E1008" s="37">
        <f>MACRO!$B$90</f>
        <v>0</v>
      </c>
      <c r="G1008" s="72" t="str">
        <f t="shared" si="107"/>
        <v/>
      </c>
      <c r="L1008" s="209"/>
      <c r="N1008" s="209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6">
        <f t="shared" si="103"/>
        <v>76</v>
      </c>
      <c r="E1009" t="s">
        <v>54</v>
      </c>
      <c r="F1009" s="14"/>
      <c r="G1009" s="72" t="str">
        <f t="shared" si="107"/>
        <v/>
      </c>
      <c r="L1009" s="209"/>
      <c r="N1009" s="209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6">
        <f t="shared" si="103"/>
        <v>76</v>
      </c>
      <c r="E1010" s="65">
        <f>MACRO!$C$90</f>
        <v>0</v>
      </c>
      <c r="G1010" s="72" t="str">
        <f t="shared" si="107"/>
        <v/>
      </c>
      <c r="L1010" s="209"/>
      <c r="N1010" s="209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6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9"/>
      <c r="N1011" s="209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6">
        <f t="shared" si="103"/>
        <v>76</v>
      </c>
      <c r="E1012" s="211">
        <f>MACRO!$F$90</f>
        <v>0</v>
      </c>
      <c r="G1012" s="72" t="str">
        <f t="shared" si="107"/>
        <v/>
      </c>
      <c r="L1012" s="209"/>
      <c r="N1012" s="209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6">
        <f t="shared" si="103"/>
        <v>76</v>
      </c>
      <c r="E1013" s="212">
        <f>MACRO!$G$90</f>
        <v>0</v>
      </c>
      <c r="G1013" s="72" t="str">
        <f t="shared" si="107"/>
        <v/>
      </c>
      <c r="L1013" s="209"/>
      <c r="N1013" s="209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6">
        <f t="shared" si="103"/>
        <v>76</v>
      </c>
      <c r="E1014" s="71">
        <f>ROUND(MACRO!$J$90,2)</f>
        <v>0</v>
      </c>
      <c r="G1014" s="72" t="str">
        <f t="shared" si="107"/>
        <v/>
      </c>
      <c r="L1014" s="209"/>
      <c r="N1014" s="209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6">
        <f t="shared" si="103"/>
        <v>76</v>
      </c>
      <c r="E1015" s="1">
        <f>IF($E$41=10,1000,9996)</f>
        <v>1000</v>
      </c>
      <c r="F1015" s="14"/>
      <c r="G1015" s="72" t="str">
        <f t="shared" si="107"/>
        <v/>
      </c>
      <c r="L1015" s="209"/>
      <c r="N1015" s="209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6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9"/>
      <c r="N1016" s="209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6">
        <f t="shared" si="103"/>
        <v>76</v>
      </c>
      <c r="E1017" s="210">
        <f>MACRO!I90</f>
        <v>0</v>
      </c>
      <c r="F1017" s="14"/>
      <c r="G1017" s="72" t="str">
        <f t="shared" si="107"/>
        <v/>
      </c>
      <c r="L1017" s="209"/>
      <c r="N1017" s="209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6">
        <f t="shared" si="103"/>
        <v>76</v>
      </c>
      <c r="E1018" s="71">
        <f>ROUND(MACRO!$I$90,2)</f>
        <v>0</v>
      </c>
      <c r="G1018" s="72" t="str">
        <f t="shared" si="107"/>
        <v/>
      </c>
      <c r="L1018" s="209"/>
      <c r="N1018" s="209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6">
        <f t="shared" si="103"/>
        <v>76</v>
      </c>
      <c r="E1019" s="11">
        <f>MACRO!E90</f>
        <v>0</v>
      </c>
      <c r="G1019" s="72" t="str">
        <f t="shared" si="107"/>
        <v/>
      </c>
      <c r="L1019" s="209"/>
      <c r="N1019" s="209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6">
        <f t="shared" si="103"/>
        <v>77</v>
      </c>
      <c r="E1020" s="215">
        <f>MACRO!A91</f>
        <v>77</v>
      </c>
      <c r="G1020" s="72" t="str">
        <f t="shared" si="107"/>
        <v/>
      </c>
      <c r="L1020" s="209"/>
      <c r="N1020" s="209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6">
        <f t="shared" si="103"/>
        <v>77</v>
      </c>
      <c r="E1021" s="37">
        <f>MACRO!$B$91</f>
        <v>0</v>
      </c>
      <c r="G1021" s="72" t="str">
        <f t="shared" si="107"/>
        <v/>
      </c>
      <c r="L1021" s="209"/>
      <c r="N1021" s="209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6">
        <f t="shared" si="103"/>
        <v>77</v>
      </c>
      <c r="E1022" t="s">
        <v>54</v>
      </c>
      <c r="F1022" s="14"/>
      <c r="G1022" s="72" t="str">
        <f t="shared" si="107"/>
        <v/>
      </c>
      <c r="L1022" s="209"/>
      <c r="N1022" s="209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6">
        <f t="shared" si="103"/>
        <v>77</v>
      </c>
      <c r="E1023" s="65">
        <f>MACRO!$C$91</f>
        <v>0</v>
      </c>
      <c r="G1023" s="72" t="str">
        <f t="shared" si="107"/>
        <v/>
      </c>
      <c r="L1023" s="209"/>
      <c r="N1023" s="209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6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9"/>
      <c r="N1024" s="209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6">
        <f t="shared" ref="D1025:D1088" si="110">IF(C1025="NroLinDet",D1024+1,D1024)</f>
        <v>77</v>
      </c>
      <c r="E1025" s="211">
        <f>MACRO!$F$91</f>
        <v>0</v>
      </c>
      <c r="G1025" s="72" t="str">
        <f t="shared" si="107"/>
        <v/>
      </c>
      <c r="L1025" s="209"/>
      <c r="N1025" s="209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6">
        <f t="shared" si="110"/>
        <v>77</v>
      </c>
      <c r="E1026" s="212">
        <f>MACRO!$G$91</f>
        <v>0</v>
      </c>
      <c r="G1026" s="72" t="str">
        <f t="shared" si="107"/>
        <v/>
      </c>
      <c r="L1026" s="209"/>
      <c r="N1026" s="209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6">
        <f t="shared" si="110"/>
        <v>77</v>
      </c>
      <c r="E1027" s="71">
        <f>ROUND(MACRO!$J$91,2)</f>
        <v>0</v>
      </c>
      <c r="G1027" s="72" t="str">
        <f t="shared" si="107"/>
        <v/>
      </c>
      <c r="L1027" s="209"/>
      <c r="N1027" s="209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6">
        <f t="shared" si="110"/>
        <v>77</v>
      </c>
      <c r="E1028" s="1">
        <f>IF($E$41=10,1000,9996)</f>
        <v>1000</v>
      </c>
      <c r="F1028" s="14"/>
      <c r="G1028" s="72" t="str">
        <f t="shared" si="107"/>
        <v/>
      </c>
      <c r="L1028" s="209"/>
      <c r="N1028" s="209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6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9"/>
      <c r="N1029" s="209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6">
        <f t="shared" si="110"/>
        <v>77</v>
      </c>
      <c r="E1030" s="210">
        <f>MACRO!I91</f>
        <v>0</v>
      </c>
      <c r="F1030" s="14"/>
      <c r="G1030" s="72" t="str">
        <f t="shared" si="107"/>
        <v/>
      </c>
      <c r="L1030" s="209"/>
      <c r="N1030" s="209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6">
        <f t="shared" si="110"/>
        <v>77</v>
      </c>
      <c r="E1031" s="71">
        <f>ROUND(MACRO!$I$91,2)</f>
        <v>0</v>
      </c>
      <c r="G1031" s="72" t="str">
        <f t="shared" si="107"/>
        <v/>
      </c>
      <c r="L1031" s="209"/>
      <c r="N1031" s="209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6">
        <f t="shared" si="110"/>
        <v>77</v>
      </c>
      <c r="E1032" s="11">
        <f>MACRO!E91</f>
        <v>0</v>
      </c>
      <c r="G1032" s="72" t="str">
        <f t="shared" si="107"/>
        <v/>
      </c>
      <c r="L1032" s="209"/>
      <c r="N1032" s="209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6">
        <f t="shared" si="110"/>
        <v>78</v>
      </c>
      <c r="E1033" s="215">
        <f>MACRO!A92</f>
        <v>78</v>
      </c>
      <c r="G1033" s="72" t="str">
        <f t="shared" si="107"/>
        <v/>
      </c>
      <c r="L1033" s="209"/>
      <c r="N1033" s="209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6">
        <f t="shared" si="110"/>
        <v>78</v>
      </c>
      <c r="E1034" s="37">
        <f>MACRO!$B$92</f>
        <v>0</v>
      </c>
      <c r="G1034" s="72" t="str">
        <f t="shared" si="107"/>
        <v/>
      </c>
      <c r="L1034" s="209"/>
      <c r="N1034" s="209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6">
        <f t="shared" si="110"/>
        <v>78</v>
      </c>
      <c r="E1035" t="s">
        <v>54</v>
      </c>
      <c r="F1035" s="14"/>
      <c r="G1035" s="72" t="str">
        <f t="shared" si="107"/>
        <v/>
      </c>
      <c r="L1035" s="209"/>
      <c r="N1035" s="209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6">
        <f t="shared" si="110"/>
        <v>78</v>
      </c>
      <c r="E1036" s="65">
        <f>MACRO!$C$92</f>
        <v>0</v>
      </c>
      <c r="G1036" s="72" t="str">
        <f t="shared" si="107"/>
        <v/>
      </c>
      <c r="L1036" s="209"/>
      <c r="N1036" s="209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6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9"/>
      <c r="N1037" s="209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6">
        <f t="shared" si="110"/>
        <v>78</v>
      </c>
      <c r="E1038" s="211">
        <f>MACRO!$F$92</f>
        <v>0</v>
      </c>
      <c r="G1038" s="72" t="str">
        <f t="shared" si="107"/>
        <v/>
      </c>
      <c r="L1038" s="209"/>
      <c r="N1038" s="209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6">
        <f t="shared" si="110"/>
        <v>78</v>
      </c>
      <c r="E1039" s="212">
        <f>MACRO!$G$92</f>
        <v>0</v>
      </c>
      <c r="G1039" s="72" t="str">
        <f t="shared" si="107"/>
        <v/>
      </c>
      <c r="L1039" s="209"/>
      <c r="N1039" s="209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6">
        <f t="shared" si="110"/>
        <v>78</v>
      </c>
      <c r="E1040" s="71">
        <f>ROUND(MACRO!$J$92,2)</f>
        <v>0</v>
      </c>
      <c r="G1040" s="72" t="str">
        <f t="shared" si="107"/>
        <v/>
      </c>
      <c r="L1040" s="209"/>
      <c r="N1040" s="209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6">
        <f t="shared" si="110"/>
        <v>78</v>
      </c>
      <c r="E1041" s="1">
        <f>IF($E$41=10,1000,9996)</f>
        <v>1000</v>
      </c>
      <c r="F1041" s="14"/>
      <c r="G1041" s="72" t="str">
        <f t="shared" si="107"/>
        <v/>
      </c>
      <c r="L1041" s="209"/>
      <c r="N1041" s="209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6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9"/>
      <c r="N1042" s="209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6">
        <f t="shared" si="110"/>
        <v>78</v>
      </c>
      <c r="E1043" s="210">
        <f>MACRO!I92</f>
        <v>0</v>
      </c>
      <c r="F1043" s="14"/>
      <c r="G1043" s="72" t="str">
        <f t="shared" si="107"/>
        <v/>
      </c>
      <c r="L1043" s="209"/>
      <c r="N1043" s="209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6">
        <f t="shared" si="110"/>
        <v>78</v>
      </c>
      <c r="E1044" s="71">
        <f>ROUND(MACRO!$I$92,2)</f>
        <v>0</v>
      </c>
      <c r="G1044" s="72" t="str">
        <f t="shared" si="107"/>
        <v/>
      </c>
      <c r="L1044" s="209"/>
      <c r="N1044" s="209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6">
        <f t="shared" si="110"/>
        <v>78</v>
      </c>
      <c r="E1045" s="11">
        <f>MACRO!E92</f>
        <v>0</v>
      </c>
      <c r="G1045" s="72" t="str">
        <f t="shared" si="107"/>
        <v/>
      </c>
      <c r="L1045" s="209"/>
      <c r="N1045" s="209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6">
        <f t="shared" si="110"/>
        <v>79</v>
      </c>
      <c r="E1046" s="215">
        <f>MACRO!A93</f>
        <v>79</v>
      </c>
      <c r="G1046" s="72" t="str">
        <f t="shared" si="107"/>
        <v/>
      </c>
      <c r="L1046" s="209"/>
      <c r="N1046" s="209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6">
        <f t="shared" si="110"/>
        <v>79</v>
      </c>
      <c r="E1047" s="37">
        <f>MACRO!$B$93</f>
        <v>0</v>
      </c>
      <c r="G1047" s="72" t="str">
        <f t="shared" si="107"/>
        <v/>
      </c>
      <c r="L1047" s="209"/>
      <c r="N1047" s="209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6">
        <f t="shared" si="110"/>
        <v>79</v>
      </c>
      <c r="E1048" t="s">
        <v>54</v>
      </c>
      <c r="F1048" s="14"/>
      <c r="G1048" s="72" t="str">
        <f t="shared" si="107"/>
        <v/>
      </c>
      <c r="L1048" s="209"/>
      <c r="N1048" s="209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6">
        <f t="shared" si="110"/>
        <v>79</v>
      </c>
      <c r="E1049" s="65">
        <f>MACRO!$C$93</f>
        <v>0</v>
      </c>
      <c r="G1049" s="72" t="str">
        <f t="shared" si="107"/>
        <v/>
      </c>
      <c r="L1049" s="209"/>
      <c r="N1049" s="209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6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9"/>
      <c r="N1050" s="209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6">
        <f t="shared" si="110"/>
        <v>79</v>
      </c>
      <c r="E1051" s="211">
        <f>MACRO!$F$93</f>
        <v>0</v>
      </c>
      <c r="G1051" s="72" t="str">
        <f t="shared" si="107"/>
        <v/>
      </c>
      <c r="L1051" s="209"/>
      <c r="N1051" s="209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6">
        <f t="shared" si="110"/>
        <v>79</v>
      </c>
      <c r="E1052" s="212">
        <f>MACRO!$G$93</f>
        <v>0</v>
      </c>
      <c r="G1052" s="72" t="str">
        <f t="shared" si="107"/>
        <v/>
      </c>
      <c r="L1052" s="209"/>
      <c r="N1052" s="209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6">
        <f t="shared" si="110"/>
        <v>79</v>
      </c>
      <c r="E1053" s="71">
        <f>ROUND(MACRO!$J$93,2)</f>
        <v>0</v>
      </c>
      <c r="G1053" s="72" t="str">
        <f t="shared" si="107"/>
        <v/>
      </c>
      <c r="L1053" s="209"/>
      <c r="N1053" s="209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6">
        <f t="shared" si="110"/>
        <v>79</v>
      </c>
      <c r="E1054" s="1">
        <f>IF($E$41=10,1000,9996)</f>
        <v>1000</v>
      </c>
      <c r="F1054" s="14"/>
      <c r="G1054" s="72" t="str">
        <f t="shared" si="107"/>
        <v/>
      </c>
      <c r="L1054" s="209"/>
      <c r="N1054" s="209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6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9"/>
      <c r="N1055" s="209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6">
        <f t="shared" si="110"/>
        <v>79</v>
      </c>
      <c r="E1056" s="210">
        <f>MACRO!I93</f>
        <v>0</v>
      </c>
      <c r="F1056" s="14"/>
      <c r="G1056" s="72" t="str">
        <f t="shared" si="107"/>
        <v/>
      </c>
      <c r="L1056" s="209"/>
      <c r="N1056" s="209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6">
        <f t="shared" si="110"/>
        <v>79</v>
      </c>
      <c r="E1057" s="71">
        <f>ROUND(MACRO!$I$93,2)</f>
        <v>0</v>
      </c>
      <c r="G1057" s="72" t="str">
        <f t="shared" si="107"/>
        <v/>
      </c>
      <c r="L1057" s="209"/>
      <c r="N1057" s="209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6">
        <f t="shared" si="110"/>
        <v>79</v>
      </c>
      <c r="E1058" s="11">
        <f>MACRO!E93</f>
        <v>0</v>
      </c>
      <c r="G1058" s="72" t="str">
        <f t="shared" si="107"/>
        <v/>
      </c>
      <c r="L1058" s="209"/>
      <c r="N1058" s="209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6">
        <f t="shared" si="110"/>
        <v>80</v>
      </c>
      <c r="E1059" s="215">
        <f>MACRO!A94</f>
        <v>80</v>
      </c>
      <c r="G1059" s="72" t="str">
        <f t="shared" si="107"/>
        <v/>
      </c>
      <c r="L1059" s="209"/>
      <c r="N1059" s="209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6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9"/>
      <c r="N1060" s="209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6">
        <f t="shared" si="110"/>
        <v>80</v>
      </c>
      <c r="E1061" t="s">
        <v>54</v>
      </c>
      <c r="F1061" s="14"/>
      <c r="G1061" s="72" t="str">
        <f t="shared" si="113"/>
        <v/>
      </c>
      <c r="L1061" s="209"/>
      <c r="N1061" s="209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6">
        <f t="shared" si="110"/>
        <v>80</v>
      </c>
      <c r="E1062" s="65">
        <f>MACRO!$C$94</f>
        <v>0</v>
      </c>
      <c r="G1062" s="72" t="str">
        <f t="shared" si="113"/>
        <v/>
      </c>
      <c r="L1062" s="209"/>
      <c r="N1062" s="209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6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9"/>
      <c r="N1063" s="209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6">
        <f t="shared" si="110"/>
        <v>80</v>
      </c>
      <c r="E1064" s="211">
        <f>MACRO!$F$94</f>
        <v>0</v>
      </c>
      <c r="G1064" s="72" t="str">
        <f t="shared" si="113"/>
        <v/>
      </c>
      <c r="L1064" s="209"/>
      <c r="N1064" s="209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6">
        <f t="shared" si="110"/>
        <v>80</v>
      </c>
      <c r="E1065" s="212">
        <f>MACRO!$G$94</f>
        <v>0</v>
      </c>
      <c r="G1065" s="72" t="str">
        <f t="shared" si="113"/>
        <v/>
      </c>
      <c r="L1065" s="209"/>
      <c r="N1065" s="209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6">
        <f t="shared" si="110"/>
        <v>80</v>
      </c>
      <c r="E1066" s="71">
        <f>ROUND(MACRO!$J$94,2)</f>
        <v>0</v>
      </c>
      <c r="G1066" s="72" t="str">
        <f t="shared" si="113"/>
        <v/>
      </c>
      <c r="L1066" s="209"/>
      <c r="N1066" s="209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6">
        <f t="shared" si="110"/>
        <v>80</v>
      </c>
      <c r="E1067" s="1">
        <f>IF($E$41=10,1000,9996)</f>
        <v>1000</v>
      </c>
      <c r="F1067" s="14"/>
      <c r="G1067" s="72" t="str">
        <f t="shared" si="113"/>
        <v/>
      </c>
      <c r="L1067" s="209"/>
      <c r="N1067" s="209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6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9"/>
      <c r="N1068" s="209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6">
        <f t="shared" si="110"/>
        <v>80</v>
      </c>
      <c r="E1069" s="210">
        <f>MACRO!I94</f>
        <v>0</v>
      </c>
      <c r="F1069" s="14"/>
      <c r="G1069" s="72" t="str">
        <f t="shared" si="113"/>
        <v/>
      </c>
      <c r="L1069" s="209"/>
      <c r="N1069" s="209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6">
        <f t="shared" si="110"/>
        <v>80</v>
      </c>
      <c r="E1070" s="71">
        <f>ROUND(MACRO!$I$94,2)</f>
        <v>0</v>
      </c>
      <c r="G1070" s="72" t="str">
        <f t="shared" si="113"/>
        <v/>
      </c>
      <c r="L1070" s="209"/>
      <c r="N1070" s="209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6">
        <f t="shared" si="110"/>
        <v>80</v>
      </c>
      <c r="E1071" s="11">
        <f>MACRO!E94</f>
        <v>0</v>
      </c>
      <c r="G1071" s="72" t="str">
        <f t="shared" si="113"/>
        <v/>
      </c>
      <c r="L1071" s="209"/>
      <c r="N1071" s="209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6">
        <f t="shared" si="110"/>
        <v>81</v>
      </c>
      <c r="E1072" s="215">
        <f>MACRO!A95</f>
        <v>81</v>
      </c>
      <c r="G1072" s="72" t="str">
        <f t="shared" si="113"/>
        <v/>
      </c>
      <c r="L1072" s="209"/>
      <c r="N1072" s="209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6">
        <f t="shared" si="110"/>
        <v>81</v>
      </c>
      <c r="E1073" s="37">
        <f>MACRO!$B$95</f>
        <v>0</v>
      </c>
      <c r="G1073" s="72" t="str">
        <f t="shared" si="113"/>
        <v/>
      </c>
      <c r="L1073" s="209"/>
      <c r="N1073" s="209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6">
        <f t="shared" si="110"/>
        <v>81</v>
      </c>
      <c r="E1074" t="s">
        <v>54</v>
      </c>
      <c r="F1074" s="14"/>
      <c r="G1074" s="72" t="str">
        <f t="shared" si="113"/>
        <v/>
      </c>
      <c r="L1074" s="209"/>
      <c r="N1074" s="209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6">
        <f t="shared" si="110"/>
        <v>81</v>
      </c>
      <c r="E1075" s="65">
        <f>MACRO!$C$95</f>
        <v>0</v>
      </c>
      <c r="G1075" s="72" t="str">
        <f t="shared" si="113"/>
        <v/>
      </c>
      <c r="L1075" s="209"/>
      <c r="N1075" s="209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6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9"/>
      <c r="N1076" s="209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6">
        <f t="shared" si="110"/>
        <v>81</v>
      </c>
      <c r="E1077" s="211">
        <f>MACRO!$F$95</f>
        <v>0</v>
      </c>
      <c r="G1077" s="72" t="str">
        <f t="shared" si="113"/>
        <v/>
      </c>
      <c r="L1077" s="209"/>
      <c r="N1077" s="209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6">
        <f t="shared" si="110"/>
        <v>81</v>
      </c>
      <c r="E1078" s="212">
        <f>MACRO!$G$95</f>
        <v>0</v>
      </c>
      <c r="G1078" s="72" t="str">
        <f t="shared" si="113"/>
        <v/>
      </c>
      <c r="L1078" s="209"/>
      <c r="N1078" s="209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6">
        <f t="shared" si="110"/>
        <v>81</v>
      </c>
      <c r="E1079" s="71">
        <f>ROUND(MACRO!$J$95,2)</f>
        <v>0</v>
      </c>
      <c r="G1079" s="72" t="str">
        <f t="shared" si="113"/>
        <v/>
      </c>
      <c r="L1079" s="209"/>
      <c r="N1079" s="209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6">
        <f t="shared" si="110"/>
        <v>81</v>
      </c>
      <c r="E1080" s="1">
        <f>IF($E$41=10,1000,9996)</f>
        <v>1000</v>
      </c>
      <c r="F1080" s="14"/>
      <c r="G1080" s="72" t="str">
        <f t="shared" si="113"/>
        <v/>
      </c>
      <c r="L1080" s="209"/>
      <c r="N1080" s="209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6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9"/>
      <c r="N1081" s="209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6">
        <f t="shared" si="110"/>
        <v>81</v>
      </c>
      <c r="E1082" s="210">
        <f>MACRO!I95</f>
        <v>0</v>
      </c>
      <c r="F1082" s="14"/>
      <c r="G1082" s="72" t="str">
        <f t="shared" si="113"/>
        <v/>
      </c>
      <c r="L1082" s="209"/>
      <c r="N1082" s="209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6">
        <f t="shared" si="110"/>
        <v>81</v>
      </c>
      <c r="E1083" s="71">
        <f>ROUND(MACRO!$I$95,2)</f>
        <v>0</v>
      </c>
      <c r="G1083" s="72" t="str">
        <f t="shared" si="113"/>
        <v/>
      </c>
      <c r="L1083" s="209"/>
      <c r="N1083" s="209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6">
        <f t="shared" si="110"/>
        <v>81</v>
      </c>
      <c r="E1084" s="11">
        <f>MACRO!E95</f>
        <v>0</v>
      </c>
      <c r="G1084" s="72" t="str">
        <f t="shared" si="113"/>
        <v/>
      </c>
      <c r="L1084" s="209"/>
      <c r="N1084" s="209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6">
        <f t="shared" si="110"/>
        <v>82</v>
      </c>
      <c r="E1085" s="215">
        <f>MACRO!A96</f>
        <v>82</v>
      </c>
      <c r="G1085" s="72" t="str">
        <f t="shared" si="113"/>
        <v/>
      </c>
      <c r="L1085" s="209"/>
      <c r="N1085" s="209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6">
        <f t="shared" si="110"/>
        <v>82</v>
      </c>
      <c r="E1086" s="37">
        <f>MACRO!$B$96</f>
        <v>0</v>
      </c>
      <c r="G1086" s="72" t="str">
        <f t="shared" si="113"/>
        <v/>
      </c>
      <c r="L1086" s="209"/>
      <c r="N1086" s="209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6">
        <f t="shared" si="110"/>
        <v>82</v>
      </c>
      <c r="E1087" t="s">
        <v>54</v>
      </c>
      <c r="F1087" s="14"/>
      <c r="G1087" s="72" t="str">
        <f t="shared" si="113"/>
        <v/>
      </c>
      <c r="L1087" s="209"/>
      <c r="N1087" s="209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6">
        <f t="shared" si="110"/>
        <v>82</v>
      </c>
      <c r="E1088" s="65">
        <f>MACRO!$C$96</f>
        <v>0</v>
      </c>
      <c r="G1088" s="72" t="str">
        <f t="shared" si="113"/>
        <v/>
      </c>
      <c r="L1088" s="209"/>
      <c r="N1088" s="209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6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9"/>
      <c r="N1089" s="209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6">
        <f t="shared" si="117"/>
        <v>82</v>
      </c>
      <c r="E1090" s="211">
        <f>MACRO!$F$96</f>
        <v>0</v>
      </c>
      <c r="G1090" s="72" t="str">
        <f t="shared" si="113"/>
        <v/>
      </c>
      <c r="L1090" s="209"/>
      <c r="N1090" s="209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6">
        <f t="shared" si="117"/>
        <v>82</v>
      </c>
      <c r="E1091" s="212">
        <f>MACRO!$G$96</f>
        <v>0</v>
      </c>
      <c r="G1091" s="72" t="str">
        <f t="shared" si="113"/>
        <v/>
      </c>
      <c r="L1091" s="209"/>
      <c r="N1091" s="209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6">
        <f t="shared" si="117"/>
        <v>82</v>
      </c>
      <c r="E1092" s="71">
        <f>ROUND(MACRO!$J$96,2)</f>
        <v>0</v>
      </c>
      <c r="G1092" s="72" t="str">
        <f t="shared" si="113"/>
        <v/>
      </c>
      <c r="L1092" s="209"/>
      <c r="N1092" s="209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6">
        <f t="shared" si="117"/>
        <v>82</v>
      </c>
      <c r="E1093" s="1">
        <f>IF($E$41=10,1000,9996)</f>
        <v>1000</v>
      </c>
      <c r="F1093" s="14"/>
      <c r="G1093" s="72" t="str">
        <f t="shared" si="113"/>
        <v/>
      </c>
      <c r="L1093" s="209"/>
      <c r="N1093" s="209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6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9"/>
      <c r="N1094" s="209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6">
        <f t="shared" si="117"/>
        <v>82</v>
      </c>
      <c r="E1095" s="210">
        <f>MACRO!I96</f>
        <v>0</v>
      </c>
      <c r="F1095" s="14"/>
      <c r="G1095" s="72" t="str">
        <f t="shared" si="113"/>
        <v/>
      </c>
      <c r="L1095" s="209"/>
      <c r="N1095" s="209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6">
        <f t="shared" si="117"/>
        <v>82</v>
      </c>
      <c r="E1096" s="71">
        <f>ROUND(MACRO!$I$96,2)</f>
        <v>0</v>
      </c>
      <c r="G1096" s="72" t="str">
        <f t="shared" si="113"/>
        <v/>
      </c>
      <c r="L1096" s="209"/>
      <c r="N1096" s="209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6">
        <f t="shared" si="117"/>
        <v>82</v>
      </c>
      <c r="E1097" s="11">
        <f>MACRO!E96</f>
        <v>0</v>
      </c>
      <c r="G1097" s="72" t="str">
        <f t="shared" si="113"/>
        <v/>
      </c>
      <c r="L1097" s="209"/>
      <c r="N1097" s="209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6">
        <f t="shared" si="117"/>
        <v>83</v>
      </c>
      <c r="E1098" s="215">
        <f>MACRO!A97</f>
        <v>83</v>
      </c>
      <c r="G1098" s="72" t="str">
        <f t="shared" si="113"/>
        <v/>
      </c>
      <c r="L1098" s="209"/>
      <c r="N1098" s="209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6">
        <f t="shared" si="117"/>
        <v>83</v>
      </c>
      <c r="E1099" s="37">
        <f>MACRO!$B$97</f>
        <v>0</v>
      </c>
      <c r="G1099" s="72" t="str">
        <f t="shared" si="113"/>
        <v/>
      </c>
      <c r="L1099" s="209"/>
      <c r="N1099" s="209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6">
        <f t="shared" si="117"/>
        <v>83</v>
      </c>
      <c r="E1100" t="s">
        <v>54</v>
      </c>
      <c r="F1100" s="14"/>
      <c r="G1100" s="72" t="str">
        <f t="shared" si="113"/>
        <v/>
      </c>
      <c r="L1100" s="209"/>
      <c r="N1100" s="209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6">
        <f t="shared" si="117"/>
        <v>83</v>
      </c>
      <c r="E1101" s="65">
        <f>MACRO!$C$97</f>
        <v>0</v>
      </c>
      <c r="G1101" s="72" t="str">
        <f t="shared" si="113"/>
        <v/>
      </c>
      <c r="L1101" s="209"/>
      <c r="N1101" s="209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6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9"/>
      <c r="N1102" s="209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6">
        <f t="shared" si="117"/>
        <v>83</v>
      </c>
      <c r="E1103" s="211">
        <f>MACRO!$F$97</f>
        <v>0</v>
      </c>
      <c r="G1103" s="72" t="str">
        <f t="shared" si="113"/>
        <v/>
      </c>
      <c r="L1103" s="209"/>
      <c r="N1103" s="209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6">
        <f t="shared" si="117"/>
        <v>83</v>
      </c>
      <c r="E1104" s="212">
        <f>MACRO!$G$97</f>
        <v>0</v>
      </c>
      <c r="G1104" s="72" t="str">
        <f t="shared" si="113"/>
        <v/>
      </c>
      <c r="L1104" s="209"/>
      <c r="N1104" s="209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6">
        <f t="shared" si="117"/>
        <v>83</v>
      </c>
      <c r="E1105" s="71">
        <f>ROUND(MACRO!$J$97,2)</f>
        <v>0</v>
      </c>
      <c r="G1105" s="72" t="str">
        <f t="shared" si="113"/>
        <v/>
      </c>
      <c r="L1105" s="209"/>
      <c r="N1105" s="209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6">
        <f t="shared" si="117"/>
        <v>83</v>
      </c>
      <c r="E1106" s="1">
        <f>IF($E$41=10,1000,9996)</f>
        <v>1000</v>
      </c>
      <c r="F1106" s="14"/>
      <c r="G1106" s="72" t="str">
        <f t="shared" si="113"/>
        <v/>
      </c>
      <c r="L1106" s="209"/>
      <c r="N1106" s="209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6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9"/>
      <c r="N1107" s="209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6">
        <f t="shared" si="117"/>
        <v>83</v>
      </c>
      <c r="E1108" s="210">
        <f>MACRO!I97</f>
        <v>0</v>
      </c>
      <c r="F1108" s="14"/>
      <c r="G1108" s="72" t="str">
        <f t="shared" si="113"/>
        <v/>
      </c>
      <c r="L1108" s="209"/>
      <c r="N1108" s="209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6">
        <f t="shared" si="117"/>
        <v>83</v>
      </c>
      <c r="E1109" s="71">
        <f>ROUND(MACRO!$I$97,2)</f>
        <v>0</v>
      </c>
      <c r="G1109" s="72" t="str">
        <f t="shared" si="113"/>
        <v/>
      </c>
      <c r="L1109" s="209"/>
      <c r="N1109" s="209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6">
        <f t="shared" si="117"/>
        <v>83</v>
      </c>
      <c r="E1110" s="11">
        <f>MACRO!E97</f>
        <v>0</v>
      </c>
      <c r="G1110" s="72" t="str">
        <f t="shared" si="113"/>
        <v/>
      </c>
      <c r="L1110" s="209"/>
      <c r="N1110" s="209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6">
        <f t="shared" si="117"/>
        <v>84</v>
      </c>
      <c r="E1111" s="215">
        <f>MACRO!A98</f>
        <v>84</v>
      </c>
      <c r="G1111" s="72" t="str">
        <f t="shared" si="113"/>
        <v/>
      </c>
      <c r="L1111" s="209"/>
      <c r="N1111" s="209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6">
        <f t="shared" si="117"/>
        <v>84</v>
      </c>
      <c r="E1112" s="37">
        <f>MACRO!$B$98</f>
        <v>0</v>
      </c>
      <c r="G1112" s="72" t="str">
        <f t="shared" si="113"/>
        <v/>
      </c>
      <c r="L1112" s="209"/>
      <c r="N1112" s="209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6">
        <f t="shared" si="117"/>
        <v>84</v>
      </c>
      <c r="E1113" t="s">
        <v>54</v>
      </c>
      <c r="F1113" s="14"/>
      <c r="G1113" s="72" t="str">
        <f t="shared" si="113"/>
        <v/>
      </c>
      <c r="L1113" s="209"/>
      <c r="N1113" s="209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6">
        <f t="shared" si="117"/>
        <v>84</v>
      </c>
      <c r="E1114" s="65">
        <f>MACRO!$C$98</f>
        <v>0</v>
      </c>
      <c r="G1114" s="72" t="str">
        <f t="shared" si="113"/>
        <v/>
      </c>
      <c r="L1114" s="209"/>
      <c r="N1114" s="209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6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9"/>
      <c r="N1115" s="209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6">
        <f t="shared" si="117"/>
        <v>84</v>
      </c>
      <c r="E1116" s="211">
        <f>MACRO!$F$98</f>
        <v>0</v>
      </c>
      <c r="G1116" s="72" t="str">
        <f t="shared" si="113"/>
        <v/>
      </c>
      <c r="L1116" s="209"/>
      <c r="N1116" s="209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6">
        <f t="shared" si="117"/>
        <v>84</v>
      </c>
      <c r="E1117" s="212">
        <f>MACRO!$G$98</f>
        <v>0</v>
      </c>
      <c r="G1117" s="72" t="str">
        <f t="shared" si="113"/>
        <v/>
      </c>
      <c r="L1117" s="209"/>
      <c r="N1117" s="209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6">
        <f t="shared" si="117"/>
        <v>84</v>
      </c>
      <c r="E1118" s="71">
        <f>ROUND(MACRO!$J$98,2)</f>
        <v>0</v>
      </c>
      <c r="G1118" s="72" t="str">
        <f t="shared" si="113"/>
        <v/>
      </c>
      <c r="L1118" s="209"/>
      <c r="N1118" s="209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6">
        <f t="shared" si="117"/>
        <v>84</v>
      </c>
      <c r="E1119" s="1">
        <f>IF($E$41=10,1000,9996)</f>
        <v>1000</v>
      </c>
      <c r="F1119" s="14"/>
      <c r="G1119" s="72" t="str">
        <f t="shared" si="113"/>
        <v/>
      </c>
      <c r="L1119" s="209"/>
      <c r="N1119" s="209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6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9"/>
      <c r="N1120" s="209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6">
        <f t="shared" si="117"/>
        <v>84</v>
      </c>
      <c r="E1121" s="210">
        <f>MACRO!I98</f>
        <v>0</v>
      </c>
      <c r="F1121" s="14"/>
      <c r="G1121" s="72" t="str">
        <f t="shared" si="113"/>
        <v/>
      </c>
      <c r="L1121" s="209"/>
      <c r="N1121" s="209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6">
        <f t="shared" si="117"/>
        <v>84</v>
      </c>
      <c r="E1122" s="71">
        <f>ROUND(MACRO!$I$98,2)</f>
        <v>0</v>
      </c>
      <c r="G1122" s="72" t="str">
        <f t="shared" si="113"/>
        <v/>
      </c>
      <c r="L1122" s="209"/>
      <c r="N1122" s="209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6">
        <f t="shared" si="117"/>
        <v>84</v>
      </c>
      <c r="E1123" s="11">
        <f>MACRO!E98</f>
        <v>0</v>
      </c>
      <c r="G1123" s="72" t="str">
        <f t="shared" si="113"/>
        <v/>
      </c>
      <c r="L1123" s="209"/>
      <c r="N1123" s="209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6">
        <f t="shared" si="117"/>
        <v>85</v>
      </c>
      <c r="E1124" s="215">
        <f>MACRO!A99</f>
        <v>85</v>
      </c>
      <c r="G1124" s="72" t="str">
        <f t="shared" ref="G1124:G1187" si="120">IF($A1124="go",CONCATENATE($B1124,";",$C1124,";",$D1124,";",$E1124),"")</f>
        <v/>
      </c>
      <c r="L1124" s="209"/>
      <c r="N1124" s="209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6">
        <f t="shared" si="117"/>
        <v>85</v>
      </c>
      <c r="E1125" s="37">
        <f>MACRO!$B$99</f>
        <v>0</v>
      </c>
      <c r="G1125" s="72" t="str">
        <f t="shared" si="120"/>
        <v/>
      </c>
      <c r="L1125" s="209"/>
      <c r="N1125" s="209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6">
        <f t="shared" si="117"/>
        <v>85</v>
      </c>
      <c r="E1126" t="s">
        <v>54</v>
      </c>
      <c r="F1126" s="14"/>
      <c r="G1126" s="72" t="str">
        <f t="shared" si="120"/>
        <v/>
      </c>
      <c r="L1126" s="209"/>
      <c r="N1126" s="209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6">
        <f t="shared" si="117"/>
        <v>85</v>
      </c>
      <c r="E1127" s="65">
        <f>MACRO!$C$99</f>
        <v>0</v>
      </c>
      <c r="G1127" s="72" t="str">
        <f t="shared" si="120"/>
        <v/>
      </c>
      <c r="L1127" s="209"/>
      <c r="N1127" s="209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6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9"/>
      <c r="N1128" s="209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6">
        <f t="shared" si="117"/>
        <v>85</v>
      </c>
      <c r="E1129" s="211">
        <f>MACRO!$F$99</f>
        <v>0</v>
      </c>
      <c r="G1129" s="72" t="str">
        <f t="shared" si="120"/>
        <v/>
      </c>
      <c r="L1129" s="209"/>
      <c r="N1129" s="209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6">
        <f t="shared" si="117"/>
        <v>85</v>
      </c>
      <c r="E1130" s="212">
        <f>MACRO!$G$99</f>
        <v>0</v>
      </c>
      <c r="G1130" s="72" t="str">
        <f t="shared" si="120"/>
        <v/>
      </c>
      <c r="L1130" s="209"/>
      <c r="N1130" s="209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6">
        <f t="shared" si="117"/>
        <v>85</v>
      </c>
      <c r="E1131" s="71">
        <f>ROUND(MACRO!$J$99,2)</f>
        <v>0</v>
      </c>
      <c r="G1131" s="72" t="str">
        <f t="shared" si="120"/>
        <v/>
      </c>
      <c r="L1131" s="209"/>
      <c r="N1131" s="209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6">
        <f t="shared" si="117"/>
        <v>85</v>
      </c>
      <c r="E1132" s="1">
        <f>IF($E$41=10,1000,9996)</f>
        <v>1000</v>
      </c>
      <c r="F1132" s="14"/>
      <c r="G1132" s="72" t="str">
        <f t="shared" si="120"/>
        <v/>
      </c>
      <c r="L1132" s="209"/>
      <c r="N1132" s="209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6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9"/>
      <c r="N1133" s="209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6">
        <f t="shared" si="117"/>
        <v>85</v>
      </c>
      <c r="E1134" s="210">
        <f>MACRO!I99</f>
        <v>0</v>
      </c>
      <c r="F1134" s="14"/>
      <c r="G1134" s="72" t="str">
        <f t="shared" si="120"/>
        <v/>
      </c>
      <c r="L1134" s="209"/>
      <c r="N1134" s="209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6">
        <f t="shared" si="117"/>
        <v>85</v>
      </c>
      <c r="E1135" s="71">
        <f>ROUND(MACRO!$I$99,2)</f>
        <v>0</v>
      </c>
      <c r="G1135" s="72" t="str">
        <f t="shared" si="120"/>
        <v/>
      </c>
      <c r="L1135" s="209"/>
      <c r="N1135" s="209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6">
        <f t="shared" si="117"/>
        <v>85</v>
      </c>
      <c r="E1136" s="11">
        <f>MACRO!E99</f>
        <v>0</v>
      </c>
      <c r="G1136" s="72" t="str">
        <f t="shared" si="120"/>
        <v/>
      </c>
      <c r="L1136" s="209"/>
      <c r="N1136" s="209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6">
        <f t="shared" si="117"/>
        <v>86</v>
      </c>
      <c r="E1137" s="215">
        <f>MACRO!A100</f>
        <v>86</v>
      </c>
      <c r="G1137" s="72" t="str">
        <f t="shared" si="120"/>
        <v/>
      </c>
      <c r="L1137" s="209"/>
      <c r="N1137" s="209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6">
        <f t="shared" si="117"/>
        <v>86</v>
      </c>
      <c r="E1138" s="37">
        <f>MACRO!$B$100</f>
        <v>0</v>
      </c>
      <c r="G1138" s="72" t="str">
        <f t="shared" si="120"/>
        <v/>
      </c>
      <c r="L1138" s="209"/>
      <c r="N1138" s="209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6">
        <f t="shared" si="117"/>
        <v>86</v>
      </c>
      <c r="E1139" t="s">
        <v>54</v>
      </c>
      <c r="F1139" s="14"/>
      <c r="G1139" s="72" t="str">
        <f t="shared" si="120"/>
        <v/>
      </c>
      <c r="L1139" s="209"/>
      <c r="N1139" s="209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6">
        <f t="shared" si="117"/>
        <v>86</v>
      </c>
      <c r="E1140" s="65">
        <f>MACRO!$C$100</f>
        <v>0</v>
      </c>
      <c r="G1140" s="72" t="str">
        <f t="shared" si="120"/>
        <v/>
      </c>
      <c r="L1140" s="209"/>
      <c r="N1140" s="209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6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9"/>
      <c r="N1141" s="209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6">
        <f t="shared" si="117"/>
        <v>86</v>
      </c>
      <c r="E1142" s="211">
        <f>MACRO!$F$100</f>
        <v>0</v>
      </c>
      <c r="G1142" s="72" t="str">
        <f t="shared" si="120"/>
        <v/>
      </c>
      <c r="L1142" s="209"/>
      <c r="N1142" s="209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6">
        <f t="shared" si="117"/>
        <v>86</v>
      </c>
      <c r="E1143" s="212">
        <f>MACRO!$G$100</f>
        <v>0</v>
      </c>
      <c r="G1143" s="72" t="str">
        <f t="shared" si="120"/>
        <v/>
      </c>
      <c r="L1143" s="209"/>
      <c r="N1143" s="209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6">
        <f t="shared" si="117"/>
        <v>86</v>
      </c>
      <c r="E1144" s="71">
        <f>ROUND(MACRO!$J$100,2)</f>
        <v>0</v>
      </c>
      <c r="G1144" s="72" t="str">
        <f t="shared" si="120"/>
        <v/>
      </c>
      <c r="L1144" s="209"/>
      <c r="N1144" s="209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6">
        <f t="shared" si="117"/>
        <v>86</v>
      </c>
      <c r="E1145" s="1">
        <f>IF($E$41=10,1000,9996)</f>
        <v>1000</v>
      </c>
      <c r="F1145" s="14"/>
      <c r="G1145" s="72" t="str">
        <f t="shared" si="120"/>
        <v/>
      </c>
      <c r="L1145" s="209"/>
      <c r="N1145" s="209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6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9"/>
      <c r="N1146" s="209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6">
        <f t="shared" si="117"/>
        <v>86</v>
      </c>
      <c r="E1147" s="210">
        <f>MACRO!I100</f>
        <v>0</v>
      </c>
      <c r="F1147" s="14"/>
      <c r="G1147" s="72" t="str">
        <f t="shared" si="120"/>
        <v/>
      </c>
      <c r="L1147" s="209"/>
      <c r="N1147" s="209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6">
        <f t="shared" si="117"/>
        <v>86</v>
      </c>
      <c r="E1148" s="71">
        <f>ROUND(MACRO!$I$100,2)</f>
        <v>0</v>
      </c>
      <c r="G1148" s="72" t="str">
        <f t="shared" si="120"/>
        <v/>
      </c>
      <c r="L1148" s="209"/>
      <c r="N1148" s="209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6">
        <f t="shared" si="117"/>
        <v>86</v>
      </c>
      <c r="E1149" s="11">
        <f>MACRO!E100</f>
        <v>0</v>
      </c>
      <c r="G1149" s="72" t="str">
        <f t="shared" si="120"/>
        <v/>
      </c>
      <c r="L1149" s="209"/>
      <c r="N1149" s="209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6">
        <f t="shared" si="117"/>
        <v>87</v>
      </c>
      <c r="E1150" s="215">
        <f>MACRO!A101</f>
        <v>87</v>
      </c>
      <c r="G1150" s="72" t="str">
        <f t="shared" si="120"/>
        <v/>
      </c>
      <c r="L1150" s="209"/>
      <c r="N1150" s="209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6">
        <f t="shared" si="117"/>
        <v>87</v>
      </c>
      <c r="E1151" s="37">
        <f>MACRO!$B$101</f>
        <v>0</v>
      </c>
      <c r="G1151" s="72" t="str">
        <f t="shared" si="120"/>
        <v/>
      </c>
      <c r="L1151" s="209"/>
      <c r="N1151" s="209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6">
        <f t="shared" si="117"/>
        <v>87</v>
      </c>
      <c r="E1152" t="s">
        <v>54</v>
      </c>
      <c r="F1152" s="14"/>
      <c r="G1152" s="72" t="str">
        <f t="shared" si="120"/>
        <v/>
      </c>
      <c r="L1152" s="209"/>
      <c r="N1152" s="209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6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9"/>
      <c r="N1153" s="209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6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9"/>
      <c r="N1154" s="209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6">
        <f t="shared" si="124"/>
        <v>87</v>
      </c>
      <c r="E1155" s="211">
        <f>MACRO!$F$101</f>
        <v>0</v>
      </c>
      <c r="G1155" s="72" t="str">
        <f t="shared" si="120"/>
        <v/>
      </c>
      <c r="L1155" s="209"/>
      <c r="N1155" s="209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6">
        <f t="shared" si="124"/>
        <v>87</v>
      </c>
      <c r="E1156" s="212">
        <f>MACRO!$G$101</f>
        <v>0</v>
      </c>
      <c r="G1156" s="72" t="str">
        <f t="shared" si="120"/>
        <v/>
      </c>
      <c r="L1156" s="209"/>
      <c r="N1156" s="209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6">
        <f t="shared" si="124"/>
        <v>87</v>
      </c>
      <c r="E1157" s="71">
        <f>ROUND(MACRO!$J$101,2)</f>
        <v>0</v>
      </c>
      <c r="G1157" s="72" t="str">
        <f t="shared" si="120"/>
        <v/>
      </c>
      <c r="L1157" s="209"/>
      <c r="N1157" s="209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6">
        <f t="shared" si="124"/>
        <v>87</v>
      </c>
      <c r="E1158" s="1">
        <f>IF($E$41=10,1000,9996)</f>
        <v>1000</v>
      </c>
      <c r="F1158" s="14"/>
      <c r="G1158" s="72" t="str">
        <f t="shared" si="120"/>
        <v/>
      </c>
      <c r="L1158" s="209"/>
      <c r="N1158" s="209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6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9"/>
      <c r="N1159" s="209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6">
        <f t="shared" si="124"/>
        <v>87</v>
      </c>
      <c r="E1160" s="210">
        <f>MACRO!I101</f>
        <v>0</v>
      </c>
      <c r="F1160" s="14"/>
      <c r="G1160" s="72" t="str">
        <f t="shared" si="120"/>
        <v/>
      </c>
      <c r="L1160" s="209"/>
      <c r="N1160" s="209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6">
        <f t="shared" si="124"/>
        <v>87</v>
      </c>
      <c r="E1161" s="71">
        <f>ROUND(MACRO!$I$101,2)</f>
        <v>0</v>
      </c>
      <c r="G1161" s="72" t="str">
        <f t="shared" si="120"/>
        <v/>
      </c>
      <c r="L1161" s="209"/>
      <c r="N1161" s="209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6">
        <f t="shared" si="124"/>
        <v>87</v>
      </c>
      <c r="E1162" s="11">
        <f>MACRO!E101</f>
        <v>0</v>
      </c>
      <c r="G1162" s="72" t="str">
        <f t="shared" si="120"/>
        <v/>
      </c>
      <c r="L1162" s="209"/>
      <c r="N1162" s="209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6">
        <f t="shared" si="124"/>
        <v>88</v>
      </c>
      <c r="E1163" s="215">
        <f>MACRO!A102</f>
        <v>88</v>
      </c>
      <c r="G1163" s="72" t="str">
        <f t="shared" si="120"/>
        <v/>
      </c>
      <c r="L1163" s="209"/>
      <c r="N1163" s="209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6">
        <f t="shared" si="124"/>
        <v>88</v>
      </c>
      <c r="E1164" s="37">
        <f>MACRO!$B$102</f>
        <v>0</v>
      </c>
      <c r="G1164" s="72" t="str">
        <f t="shared" si="120"/>
        <v/>
      </c>
      <c r="L1164" s="209"/>
      <c r="N1164" s="209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6">
        <f t="shared" si="124"/>
        <v>88</v>
      </c>
      <c r="E1165" t="s">
        <v>54</v>
      </c>
      <c r="F1165" s="14"/>
      <c r="G1165" s="72" t="str">
        <f t="shared" si="120"/>
        <v/>
      </c>
      <c r="L1165" s="209"/>
      <c r="N1165" s="209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6">
        <f t="shared" si="124"/>
        <v>88</v>
      </c>
      <c r="E1166" s="65">
        <f>MACRO!$C$102</f>
        <v>0</v>
      </c>
      <c r="G1166" s="72" t="str">
        <f t="shared" si="120"/>
        <v/>
      </c>
      <c r="L1166" s="209"/>
      <c r="N1166" s="209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6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9"/>
      <c r="N1167" s="209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6">
        <f t="shared" si="124"/>
        <v>88</v>
      </c>
      <c r="E1168" s="211">
        <f>MACRO!$F$102</f>
        <v>0</v>
      </c>
      <c r="G1168" s="72" t="str">
        <f t="shared" si="120"/>
        <v/>
      </c>
      <c r="L1168" s="209"/>
      <c r="N1168" s="209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6">
        <f t="shared" si="124"/>
        <v>88</v>
      </c>
      <c r="E1169" s="212">
        <f>MACRO!$G$102</f>
        <v>0</v>
      </c>
      <c r="G1169" s="72" t="str">
        <f t="shared" si="120"/>
        <v/>
      </c>
      <c r="L1169" s="209"/>
      <c r="N1169" s="209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6">
        <f t="shared" si="124"/>
        <v>88</v>
      </c>
      <c r="E1170" s="71">
        <f>ROUND(MACRO!$J$102,2)</f>
        <v>0</v>
      </c>
      <c r="G1170" s="72" t="str">
        <f t="shared" si="120"/>
        <v/>
      </c>
      <c r="L1170" s="209"/>
      <c r="N1170" s="209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6">
        <f t="shared" si="124"/>
        <v>88</v>
      </c>
      <c r="E1171" s="1">
        <f>IF($E$41=10,1000,9996)</f>
        <v>1000</v>
      </c>
      <c r="F1171" s="14"/>
      <c r="G1171" s="72" t="str">
        <f t="shared" si="120"/>
        <v/>
      </c>
      <c r="L1171" s="209"/>
      <c r="N1171" s="209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6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9"/>
      <c r="N1172" s="209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6">
        <f t="shared" si="124"/>
        <v>88</v>
      </c>
      <c r="E1173" s="210">
        <f>MACRO!I102</f>
        <v>0</v>
      </c>
      <c r="F1173" s="14"/>
      <c r="G1173" s="72" t="str">
        <f t="shared" si="120"/>
        <v/>
      </c>
      <c r="L1173" s="209"/>
      <c r="N1173" s="209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6">
        <f t="shared" si="124"/>
        <v>88</v>
      </c>
      <c r="E1174" s="71">
        <f>ROUND(MACRO!$I$102,2)</f>
        <v>0</v>
      </c>
      <c r="G1174" s="72" t="str">
        <f t="shared" si="120"/>
        <v/>
      </c>
      <c r="L1174" s="209"/>
      <c r="N1174" s="209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6">
        <f t="shared" si="124"/>
        <v>88</v>
      </c>
      <c r="E1175" s="11">
        <f>MACRO!E102</f>
        <v>0</v>
      </c>
      <c r="G1175" s="72" t="str">
        <f t="shared" si="120"/>
        <v/>
      </c>
      <c r="L1175" s="209"/>
      <c r="N1175" s="209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6">
        <f t="shared" si="124"/>
        <v>89</v>
      </c>
      <c r="E1176" s="215">
        <f>MACRO!A103</f>
        <v>89</v>
      </c>
      <c r="G1176" s="72" t="str">
        <f t="shared" si="120"/>
        <v/>
      </c>
      <c r="L1176" s="209"/>
      <c r="N1176" s="209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6">
        <f t="shared" si="124"/>
        <v>89</v>
      </c>
      <c r="E1177" s="37">
        <f>MACRO!$B$103</f>
        <v>0</v>
      </c>
      <c r="G1177" s="72" t="str">
        <f t="shared" si="120"/>
        <v/>
      </c>
      <c r="L1177" s="209"/>
      <c r="N1177" s="209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6">
        <f t="shared" si="124"/>
        <v>89</v>
      </c>
      <c r="E1178" t="s">
        <v>54</v>
      </c>
      <c r="F1178" s="14"/>
      <c r="G1178" s="72" t="str">
        <f t="shared" si="120"/>
        <v/>
      </c>
      <c r="L1178" s="209"/>
      <c r="N1178" s="209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6">
        <f t="shared" si="124"/>
        <v>89</v>
      </c>
      <c r="E1179" s="65">
        <f>MACRO!$C$103</f>
        <v>0</v>
      </c>
      <c r="G1179" s="72" t="str">
        <f t="shared" si="120"/>
        <v/>
      </c>
      <c r="L1179" s="209"/>
      <c r="N1179" s="209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6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9"/>
      <c r="N1180" s="209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6">
        <f t="shared" si="124"/>
        <v>89</v>
      </c>
      <c r="E1181" s="211">
        <f>MACRO!$F$103</f>
        <v>0</v>
      </c>
      <c r="G1181" s="72" t="str">
        <f t="shared" si="120"/>
        <v/>
      </c>
      <c r="L1181" s="209"/>
      <c r="N1181" s="209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6">
        <f t="shared" si="124"/>
        <v>89</v>
      </c>
      <c r="E1182" s="212">
        <f>MACRO!$G$103</f>
        <v>0</v>
      </c>
      <c r="G1182" s="72" t="str">
        <f t="shared" si="120"/>
        <v/>
      </c>
      <c r="L1182" s="209"/>
      <c r="N1182" s="209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6">
        <f t="shared" si="124"/>
        <v>89</v>
      </c>
      <c r="E1183" s="71">
        <f>ROUND(MACRO!$J$103,2)</f>
        <v>0</v>
      </c>
      <c r="G1183" s="72" t="str">
        <f t="shared" si="120"/>
        <v/>
      </c>
      <c r="L1183" s="209"/>
      <c r="N1183" s="209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6">
        <f t="shared" si="124"/>
        <v>89</v>
      </c>
      <c r="E1184" s="1">
        <f>IF($E$41=10,1000,9996)</f>
        <v>1000</v>
      </c>
      <c r="F1184" s="14"/>
      <c r="G1184" s="72" t="str">
        <f t="shared" si="120"/>
        <v/>
      </c>
      <c r="L1184" s="209"/>
      <c r="N1184" s="209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6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9"/>
      <c r="N1185" s="209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6">
        <f t="shared" si="124"/>
        <v>89</v>
      </c>
      <c r="E1186" s="210">
        <f>MACRO!I103</f>
        <v>0</v>
      </c>
      <c r="F1186" s="14"/>
      <c r="G1186" s="72" t="str">
        <f t="shared" si="120"/>
        <v/>
      </c>
      <c r="L1186" s="209"/>
      <c r="N1186" s="209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6">
        <f t="shared" si="124"/>
        <v>89</v>
      </c>
      <c r="E1187" s="71">
        <f>ROUND(MACRO!$I$103,2)</f>
        <v>0</v>
      </c>
      <c r="G1187" s="72" t="str">
        <f t="shared" si="120"/>
        <v/>
      </c>
      <c r="L1187" s="209"/>
      <c r="N1187" s="209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6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9"/>
      <c r="N1188" s="209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6">
        <f t="shared" si="124"/>
        <v>90</v>
      </c>
      <c r="E1189" s="215">
        <f>MACRO!A104</f>
        <v>90</v>
      </c>
      <c r="G1189" s="72" t="str">
        <f t="shared" si="127"/>
        <v/>
      </c>
      <c r="L1189" s="209"/>
      <c r="N1189" s="209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6">
        <f t="shared" si="124"/>
        <v>90</v>
      </c>
      <c r="E1190" s="37">
        <f>MACRO!$B$104</f>
        <v>0</v>
      </c>
      <c r="G1190" s="72" t="str">
        <f t="shared" si="127"/>
        <v/>
      </c>
      <c r="L1190" s="209"/>
      <c r="N1190" s="209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6">
        <f t="shared" si="124"/>
        <v>90</v>
      </c>
      <c r="E1191" t="s">
        <v>54</v>
      </c>
      <c r="F1191" s="14"/>
      <c r="G1191" s="72" t="str">
        <f t="shared" si="127"/>
        <v/>
      </c>
      <c r="L1191" s="209"/>
      <c r="N1191" s="209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6">
        <f t="shared" si="124"/>
        <v>90</v>
      </c>
      <c r="E1192" s="65">
        <f>MACRO!$C$104</f>
        <v>0</v>
      </c>
      <c r="G1192" s="72" t="str">
        <f t="shared" si="127"/>
        <v/>
      </c>
      <c r="L1192" s="209"/>
      <c r="N1192" s="209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6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9"/>
      <c r="N1193" s="209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6">
        <f t="shared" si="124"/>
        <v>90</v>
      </c>
      <c r="E1194" s="211">
        <f>MACRO!$F$104</f>
        <v>0</v>
      </c>
      <c r="G1194" s="72" t="str">
        <f t="shared" si="127"/>
        <v/>
      </c>
      <c r="L1194" s="209"/>
      <c r="N1194" s="209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6">
        <f t="shared" si="124"/>
        <v>90</v>
      </c>
      <c r="E1195" s="212">
        <f>MACRO!$G$104</f>
        <v>0</v>
      </c>
      <c r="G1195" s="72" t="str">
        <f t="shared" si="127"/>
        <v/>
      </c>
      <c r="L1195" s="209"/>
      <c r="N1195" s="209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6">
        <f t="shared" si="124"/>
        <v>90</v>
      </c>
      <c r="E1196" s="71">
        <f>ROUND(MACRO!$J$104,2)</f>
        <v>0</v>
      </c>
      <c r="G1196" s="72" t="str">
        <f t="shared" si="127"/>
        <v/>
      </c>
      <c r="L1196" s="209"/>
      <c r="N1196" s="209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6">
        <f t="shared" si="124"/>
        <v>90</v>
      </c>
      <c r="E1197" s="1">
        <f>IF($E$41=10,1000,9996)</f>
        <v>1000</v>
      </c>
      <c r="F1197" s="14"/>
      <c r="G1197" s="72" t="str">
        <f t="shared" si="127"/>
        <v/>
      </c>
      <c r="L1197" s="209"/>
      <c r="N1197" s="209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6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9"/>
      <c r="N1198" s="209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6">
        <f t="shared" si="124"/>
        <v>90</v>
      </c>
      <c r="E1199" s="210">
        <f>MACRO!I104</f>
        <v>0</v>
      </c>
      <c r="F1199" s="14"/>
      <c r="G1199" s="72" t="str">
        <f t="shared" si="127"/>
        <v/>
      </c>
      <c r="L1199" s="209"/>
      <c r="N1199" s="209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6">
        <f t="shared" si="124"/>
        <v>90</v>
      </c>
      <c r="E1200" s="71">
        <f>ROUND(MACRO!$I$104,2)</f>
        <v>0</v>
      </c>
      <c r="G1200" s="72" t="str">
        <f t="shared" si="127"/>
        <v/>
      </c>
      <c r="L1200" s="209"/>
      <c r="N1200" s="209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6">
        <f t="shared" si="124"/>
        <v>90</v>
      </c>
      <c r="E1201" s="11">
        <f>MACRO!E104</f>
        <v>0</v>
      </c>
      <c r="G1201" s="72" t="str">
        <f t="shared" si="127"/>
        <v/>
      </c>
      <c r="L1201" s="209"/>
      <c r="N1201" s="209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6">
        <f t="shared" si="124"/>
        <v>91</v>
      </c>
      <c r="E1202" s="215">
        <f>MACRO!A105</f>
        <v>91</v>
      </c>
      <c r="G1202" s="72" t="str">
        <f t="shared" si="127"/>
        <v/>
      </c>
      <c r="L1202" s="209"/>
      <c r="N1202" s="209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6">
        <f t="shared" si="124"/>
        <v>91</v>
      </c>
      <c r="E1203" s="37">
        <f>MACRO!$B$105</f>
        <v>0</v>
      </c>
      <c r="G1203" s="72" t="str">
        <f t="shared" si="127"/>
        <v/>
      </c>
      <c r="L1203" s="209"/>
      <c r="N1203" s="209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6">
        <f t="shared" si="124"/>
        <v>91</v>
      </c>
      <c r="E1204" t="s">
        <v>54</v>
      </c>
      <c r="F1204" s="14"/>
      <c r="G1204" s="72" t="str">
        <f t="shared" si="127"/>
        <v/>
      </c>
      <c r="L1204" s="209"/>
      <c r="N1204" s="209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6">
        <f t="shared" si="124"/>
        <v>91</v>
      </c>
      <c r="E1205" s="65">
        <f>MACRO!$C$105</f>
        <v>0</v>
      </c>
      <c r="G1205" s="72" t="str">
        <f t="shared" si="127"/>
        <v/>
      </c>
      <c r="L1205" s="209"/>
      <c r="N1205" s="209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6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9"/>
      <c r="N1206" s="209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6">
        <f t="shared" si="124"/>
        <v>91</v>
      </c>
      <c r="E1207" s="211">
        <f>MACRO!$F$105</f>
        <v>0</v>
      </c>
      <c r="G1207" s="72" t="str">
        <f t="shared" si="127"/>
        <v/>
      </c>
      <c r="L1207" s="209"/>
      <c r="N1207" s="209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6">
        <f t="shared" si="124"/>
        <v>91</v>
      </c>
      <c r="E1208" s="212">
        <f>MACRO!$G$105</f>
        <v>0</v>
      </c>
      <c r="G1208" s="72" t="str">
        <f t="shared" si="127"/>
        <v/>
      </c>
      <c r="L1208" s="209"/>
      <c r="N1208" s="209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6">
        <f t="shared" si="124"/>
        <v>91</v>
      </c>
      <c r="E1209" s="71">
        <f>ROUND(MACRO!$J$105,2)</f>
        <v>0</v>
      </c>
      <c r="G1209" s="72" t="str">
        <f t="shared" si="127"/>
        <v/>
      </c>
      <c r="L1209" s="209"/>
      <c r="N1209" s="209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6">
        <f t="shared" si="124"/>
        <v>91</v>
      </c>
      <c r="E1210" s="1">
        <f>IF($E$41=10,1000,9996)</f>
        <v>1000</v>
      </c>
      <c r="F1210" s="14"/>
      <c r="G1210" s="72" t="str">
        <f t="shared" si="127"/>
        <v/>
      </c>
      <c r="L1210" s="209"/>
      <c r="N1210" s="209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6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9"/>
      <c r="N1211" s="209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6">
        <f t="shared" si="124"/>
        <v>91</v>
      </c>
      <c r="E1212" s="210">
        <f>MACRO!I105</f>
        <v>0</v>
      </c>
      <c r="F1212" s="14"/>
      <c r="G1212" s="72" t="str">
        <f t="shared" si="127"/>
        <v/>
      </c>
      <c r="L1212" s="209"/>
      <c r="N1212" s="209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6">
        <f t="shared" si="124"/>
        <v>91</v>
      </c>
      <c r="E1213" s="71">
        <f>ROUND(MACRO!$I$105,2)</f>
        <v>0</v>
      </c>
      <c r="G1213" s="72" t="str">
        <f t="shared" si="127"/>
        <v/>
      </c>
      <c r="L1213" s="209"/>
      <c r="N1213" s="209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6">
        <f t="shared" si="124"/>
        <v>91</v>
      </c>
      <c r="E1214" s="11">
        <f>MACRO!E105</f>
        <v>0</v>
      </c>
      <c r="G1214" s="72" t="str">
        <f t="shared" si="127"/>
        <v/>
      </c>
      <c r="L1214" s="209"/>
      <c r="N1214" s="209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6">
        <f t="shared" si="124"/>
        <v>92</v>
      </c>
      <c r="E1215" s="215">
        <f>MACRO!A106</f>
        <v>92</v>
      </c>
      <c r="G1215" s="72" t="str">
        <f t="shared" si="127"/>
        <v/>
      </c>
      <c r="L1215" s="209"/>
      <c r="N1215" s="209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6">
        <f t="shared" si="124"/>
        <v>92</v>
      </c>
      <c r="E1216" s="37">
        <f>MACRO!$B$106</f>
        <v>0</v>
      </c>
      <c r="G1216" s="72" t="str">
        <f t="shared" si="127"/>
        <v/>
      </c>
      <c r="L1216" s="209"/>
      <c r="N1216" s="209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6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9"/>
      <c r="N1217" s="209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6">
        <f t="shared" si="131"/>
        <v>92</v>
      </c>
      <c r="E1218" s="65">
        <f>MACRO!$C$106</f>
        <v>0</v>
      </c>
      <c r="G1218" s="72" t="str">
        <f t="shared" si="127"/>
        <v/>
      </c>
      <c r="L1218" s="209"/>
      <c r="N1218" s="209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6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9"/>
      <c r="N1219" s="209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6">
        <f t="shared" si="131"/>
        <v>92</v>
      </c>
      <c r="E1220" s="211">
        <f>MACRO!$F$106</f>
        <v>0</v>
      </c>
      <c r="G1220" s="72" t="str">
        <f t="shared" si="127"/>
        <v/>
      </c>
      <c r="L1220" s="209"/>
      <c r="N1220" s="209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6">
        <f t="shared" si="131"/>
        <v>92</v>
      </c>
      <c r="E1221" s="212">
        <f>MACRO!$G$106</f>
        <v>0</v>
      </c>
      <c r="G1221" s="72" t="str">
        <f t="shared" si="127"/>
        <v/>
      </c>
      <c r="L1221" s="209"/>
      <c r="N1221" s="209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6">
        <f t="shared" si="131"/>
        <v>92</v>
      </c>
      <c r="E1222" s="71">
        <f>ROUND(MACRO!$J$106,2)</f>
        <v>0</v>
      </c>
      <c r="G1222" s="72" t="str">
        <f t="shared" si="127"/>
        <v/>
      </c>
      <c r="L1222" s="209"/>
      <c r="N1222" s="209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6">
        <f t="shared" si="131"/>
        <v>92</v>
      </c>
      <c r="E1223" s="1">
        <f>IF($E$41=10,1000,9996)</f>
        <v>1000</v>
      </c>
      <c r="F1223" s="14"/>
      <c r="G1223" s="72" t="str">
        <f t="shared" si="127"/>
        <v/>
      </c>
      <c r="L1223" s="209"/>
      <c r="N1223" s="209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6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9"/>
      <c r="N1224" s="209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6">
        <f t="shared" si="131"/>
        <v>92</v>
      </c>
      <c r="E1225" s="210">
        <f>MACRO!I106</f>
        <v>0</v>
      </c>
      <c r="F1225" s="14"/>
      <c r="G1225" s="72" t="str">
        <f t="shared" si="127"/>
        <v/>
      </c>
      <c r="L1225" s="209"/>
      <c r="N1225" s="209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6">
        <f t="shared" si="131"/>
        <v>92</v>
      </c>
      <c r="E1226" s="71">
        <f>ROUND(MACRO!$I$106,2)</f>
        <v>0</v>
      </c>
      <c r="G1226" s="72" t="str">
        <f t="shared" si="127"/>
        <v/>
      </c>
      <c r="L1226" s="209"/>
      <c r="N1226" s="209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6">
        <f t="shared" si="131"/>
        <v>92</v>
      </c>
      <c r="E1227" s="11">
        <f>MACRO!E106</f>
        <v>0</v>
      </c>
      <c r="G1227" s="72" t="str">
        <f t="shared" si="127"/>
        <v/>
      </c>
      <c r="L1227" s="209"/>
      <c r="N1227" s="209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6">
        <f>IF(C1228="NroLinDet",D1227+1,D1227)</f>
        <v>93</v>
      </c>
      <c r="E1228" s="215">
        <f>MACRO!A107</f>
        <v>93</v>
      </c>
      <c r="G1228" s="72" t="str">
        <f t="shared" si="127"/>
        <v/>
      </c>
      <c r="L1228" s="209"/>
      <c r="N1228" s="209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6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9"/>
      <c r="N1229" s="209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6">
        <f t="shared" si="132"/>
        <v>93</v>
      </c>
      <c r="E1230" t="s">
        <v>54</v>
      </c>
      <c r="F1230" s="14"/>
      <c r="G1230" s="72" t="str">
        <f t="shared" si="127"/>
        <v/>
      </c>
      <c r="L1230" s="209"/>
      <c r="N1230" s="209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6">
        <f t="shared" si="132"/>
        <v>93</v>
      </c>
      <c r="E1231" s="65">
        <f>MACRO!$C$107</f>
        <v>0</v>
      </c>
      <c r="G1231" s="72" t="str">
        <f t="shared" si="127"/>
        <v/>
      </c>
      <c r="L1231" s="209"/>
      <c r="N1231" s="209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6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9"/>
      <c r="N1232" s="209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6">
        <f t="shared" si="132"/>
        <v>93</v>
      </c>
      <c r="E1233" s="211">
        <f>MACRO!$F$107</f>
        <v>0</v>
      </c>
      <c r="G1233" s="72" t="str">
        <f t="shared" si="127"/>
        <v/>
      </c>
      <c r="L1233" s="209"/>
      <c r="N1233" s="209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6">
        <f t="shared" si="132"/>
        <v>93</v>
      </c>
      <c r="E1234" s="212">
        <f>MACRO!$G$107</f>
        <v>0</v>
      </c>
      <c r="G1234" s="72" t="str">
        <f t="shared" si="127"/>
        <v/>
      </c>
      <c r="L1234" s="209"/>
      <c r="N1234" s="209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6">
        <f t="shared" si="132"/>
        <v>93</v>
      </c>
      <c r="E1235" s="71">
        <f>ROUND(MACRO!$J$107,2)</f>
        <v>0</v>
      </c>
      <c r="G1235" s="72" t="str">
        <f t="shared" si="127"/>
        <v/>
      </c>
      <c r="L1235" s="209"/>
      <c r="N1235" s="209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6">
        <f t="shared" si="132"/>
        <v>93</v>
      </c>
      <c r="E1236" s="1">
        <f>IF($E$41=10,1000,9996)</f>
        <v>1000</v>
      </c>
      <c r="F1236" s="14"/>
      <c r="G1236" s="72" t="str">
        <f t="shared" si="127"/>
        <v/>
      </c>
      <c r="L1236" s="209"/>
      <c r="N1236" s="209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6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9"/>
      <c r="N1237" s="209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6">
        <f t="shared" si="132"/>
        <v>93</v>
      </c>
      <c r="E1238" s="210">
        <f>MACRO!I107</f>
        <v>0</v>
      </c>
      <c r="F1238" s="14"/>
      <c r="G1238" s="72" t="str">
        <f t="shared" si="127"/>
        <v/>
      </c>
      <c r="L1238" s="209"/>
      <c r="N1238" s="209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6">
        <f t="shared" si="132"/>
        <v>93</v>
      </c>
      <c r="E1239" s="71">
        <f>ROUND(MACRO!$I$107,2)</f>
        <v>0</v>
      </c>
      <c r="G1239" s="72" t="str">
        <f t="shared" si="127"/>
        <v/>
      </c>
      <c r="L1239" s="209"/>
      <c r="N1239" s="209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6">
        <f t="shared" si="132"/>
        <v>93</v>
      </c>
      <c r="E1240" s="11">
        <f>MACRO!E107</f>
        <v>0</v>
      </c>
      <c r="G1240" s="72" t="str">
        <f t="shared" si="127"/>
        <v/>
      </c>
      <c r="L1240" s="209"/>
      <c r="N1240" s="209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6">
        <f t="shared" si="132"/>
        <v>94</v>
      </c>
      <c r="E1241" s="215">
        <f>MACRO!A108</f>
        <v>94</v>
      </c>
      <c r="G1241" s="72" t="str">
        <f t="shared" si="127"/>
        <v/>
      </c>
      <c r="L1241" s="209"/>
      <c r="N1241" s="209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6">
        <f t="shared" si="132"/>
        <v>94</v>
      </c>
      <c r="E1242" s="37">
        <f>MACRO!$B$108</f>
        <v>0</v>
      </c>
      <c r="G1242" s="72" t="str">
        <f t="shared" si="127"/>
        <v/>
      </c>
      <c r="L1242" s="209"/>
      <c r="N1242" s="209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6">
        <f t="shared" si="132"/>
        <v>94</v>
      </c>
      <c r="E1243" t="s">
        <v>54</v>
      </c>
      <c r="F1243" s="14"/>
      <c r="G1243" s="72" t="str">
        <f t="shared" si="127"/>
        <v/>
      </c>
      <c r="L1243" s="209"/>
      <c r="N1243" s="209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6">
        <f t="shared" si="132"/>
        <v>94</v>
      </c>
      <c r="E1244" s="65">
        <f>MACRO!$C$108</f>
        <v>0</v>
      </c>
      <c r="G1244" s="72" t="str">
        <f t="shared" si="127"/>
        <v/>
      </c>
      <c r="L1244" s="209"/>
      <c r="N1244" s="209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6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9"/>
      <c r="N1245" s="209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6">
        <f t="shared" si="132"/>
        <v>94</v>
      </c>
      <c r="E1246" s="211">
        <f>MACRO!$F$108</f>
        <v>0</v>
      </c>
      <c r="G1246" s="72" t="str">
        <f t="shared" si="127"/>
        <v/>
      </c>
      <c r="L1246" s="209"/>
      <c r="N1246" s="209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6">
        <f t="shared" si="132"/>
        <v>94</v>
      </c>
      <c r="E1247" s="212">
        <f>MACRO!$G$108</f>
        <v>0</v>
      </c>
      <c r="G1247" s="72" t="str">
        <f t="shared" si="127"/>
        <v/>
      </c>
      <c r="L1247" s="209"/>
      <c r="N1247" s="209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6">
        <f t="shared" si="132"/>
        <v>94</v>
      </c>
      <c r="E1248" s="71">
        <f>ROUND(MACRO!$J$108,2)</f>
        <v>0</v>
      </c>
      <c r="G1248" s="72" t="str">
        <f t="shared" si="127"/>
        <v/>
      </c>
      <c r="L1248" s="209"/>
      <c r="N1248" s="209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6">
        <f t="shared" si="132"/>
        <v>94</v>
      </c>
      <c r="E1249" s="1">
        <f>IF($E$41=10,1000,9996)</f>
        <v>1000</v>
      </c>
      <c r="F1249" s="14"/>
      <c r="G1249" s="72" t="str">
        <f t="shared" si="127"/>
        <v/>
      </c>
      <c r="L1249" s="209"/>
      <c r="N1249" s="209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6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9"/>
      <c r="N1250" s="209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6">
        <f t="shared" si="132"/>
        <v>94</v>
      </c>
      <c r="E1251" s="210">
        <f>MACRO!I108</f>
        <v>0</v>
      </c>
      <c r="F1251" s="14"/>
      <c r="G1251" s="72" t="str">
        <f t="shared" si="127"/>
        <v/>
      </c>
      <c r="L1251" s="209"/>
      <c r="N1251" s="209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6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9"/>
      <c r="N1252" s="209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6">
        <f t="shared" si="132"/>
        <v>94</v>
      </c>
      <c r="E1253" s="11">
        <f>MACRO!E108</f>
        <v>0</v>
      </c>
      <c r="G1253" s="72" t="str">
        <f t="shared" si="135"/>
        <v/>
      </c>
      <c r="L1253" s="209"/>
      <c r="N1253" s="209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6">
        <f t="shared" si="132"/>
        <v>95</v>
      </c>
      <c r="E1254" s="215">
        <f>MACRO!A109</f>
        <v>95</v>
      </c>
      <c r="G1254" s="72" t="str">
        <f t="shared" si="135"/>
        <v/>
      </c>
      <c r="L1254" s="209"/>
      <c r="N1254" s="209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6">
        <f t="shared" si="132"/>
        <v>95</v>
      </c>
      <c r="E1255" s="37">
        <f>MACRO!$B$109</f>
        <v>0</v>
      </c>
      <c r="G1255" s="72" t="str">
        <f t="shared" si="135"/>
        <v/>
      </c>
      <c r="L1255" s="209"/>
      <c r="N1255" s="209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6">
        <f t="shared" si="132"/>
        <v>95</v>
      </c>
      <c r="E1256" t="s">
        <v>54</v>
      </c>
      <c r="F1256" s="14"/>
      <c r="G1256" s="72" t="str">
        <f t="shared" si="135"/>
        <v/>
      </c>
      <c r="L1256" s="209"/>
      <c r="N1256" s="209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6">
        <f t="shared" si="132"/>
        <v>95</v>
      </c>
      <c r="E1257" s="65">
        <f>MACRO!$C$109</f>
        <v>0</v>
      </c>
      <c r="G1257" s="72" t="str">
        <f t="shared" si="135"/>
        <v/>
      </c>
      <c r="L1257" s="209"/>
      <c r="N1257" s="209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6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9"/>
      <c r="N1258" s="209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6">
        <f t="shared" si="132"/>
        <v>95</v>
      </c>
      <c r="E1259" s="211">
        <f>MACRO!$F$109</f>
        <v>0</v>
      </c>
      <c r="G1259" s="72" t="str">
        <f t="shared" si="135"/>
        <v/>
      </c>
      <c r="L1259" s="209"/>
      <c r="N1259" s="209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6">
        <f t="shared" si="132"/>
        <v>95</v>
      </c>
      <c r="E1260" s="212">
        <f>MACRO!$G$109</f>
        <v>0</v>
      </c>
      <c r="G1260" s="72" t="str">
        <f t="shared" si="135"/>
        <v/>
      </c>
      <c r="L1260" s="209"/>
      <c r="N1260" s="209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6">
        <f t="shared" si="132"/>
        <v>95</v>
      </c>
      <c r="E1261" s="71">
        <f>ROUND(MACRO!$J$109,2)</f>
        <v>0</v>
      </c>
      <c r="G1261" s="72" t="str">
        <f t="shared" si="135"/>
        <v/>
      </c>
      <c r="L1261" s="209"/>
      <c r="N1261" s="209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6">
        <f t="shared" si="132"/>
        <v>95</v>
      </c>
      <c r="E1262" s="1">
        <f>IF($E$41=10,1000,9996)</f>
        <v>1000</v>
      </c>
      <c r="F1262" s="14"/>
      <c r="G1262" s="72" t="str">
        <f t="shared" si="135"/>
        <v/>
      </c>
      <c r="L1262" s="209"/>
      <c r="N1262" s="209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6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9"/>
      <c r="N1263" s="209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6">
        <f t="shared" si="132"/>
        <v>95</v>
      </c>
      <c r="E1264" s="210">
        <f>MACRO!I109</f>
        <v>0</v>
      </c>
      <c r="F1264" s="14"/>
      <c r="G1264" s="72" t="str">
        <f t="shared" si="135"/>
        <v/>
      </c>
      <c r="L1264" s="209"/>
      <c r="N1264" s="209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6">
        <f t="shared" si="132"/>
        <v>95</v>
      </c>
      <c r="E1265" s="71">
        <f>ROUND(MACRO!$I$109,2)</f>
        <v>0</v>
      </c>
      <c r="G1265" s="72" t="str">
        <f t="shared" si="135"/>
        <v/>
      </c>
      <c r="L1265" s="209"/>
      <c r="N1265" s="209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6">
        <f t="shared" si="132"/>
        <v>95</v>
      </c>
      <c r="E1266" s="11">
        <f>MACRO!E109</f>
        <v>0</v>
      </c>
      <c r="G1266" s="72" t="str">
        <f t="shared" si="135"/>
        <v/>
      </c>
      <c r="L1266" s="209"/>
      <c r="N1266" s="209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6">
        <f t="shared" si="132"/>
        <v>96</v>
      </c>
      <c r="E1267" s="215">
        <f>MACRO!A110</f>
        <v>96</v>
      </c>
      <c r="G1267" s="72" t="str">
        <f t="shared" si="135"/>
        <v/>
      </c>
      <c r="L1267" s="209"/>
      <c r="N1267" s="209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6">
        <f t="shared" si="132"/>
        <v>96</v>
      </c>
      <c r="E1268" s="37">
        <f>MACRO!$B$110</f>
        <v>0</v>
      </c>
      <c r="G1268" s="72" t="str">
        <f t="shared" si="135"/>
        <v/>
      </c>
      <c r="L1268" s="209"/>
      <c r="N1268" s="209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6">
        <f t="shared" si="132"/>
        <v>96</v>
      </c>
      <c r="E1269" t="s">
        <v>54</v>
      </c>
      <c r="F1269" s="14"/>
      <c r="G1269" s="72" t="str">
        <f t="shared" si="135"/>
        <v/>
      </c>
      <c r="L1269" s="209"/>
      <c r="N1269" s="209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6">
        <f t="shared" si="132"/>
        <v>96</v>
      </c>
      <c r="E1270" s="65">
        <f>MACRO!$C$110</f>
        <v>0</v>
      </c>
      <c r="G1270" s="72" t="str">
        <f t="shared" si="135"/>
        <v/>
      </c>
      <c r="L1270" s="209"/>
      <c r="N1270" s="209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6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9"/>
      <c r="N1271" s="209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6">
        <f t="shared" si="132"/>
        <v>96</v>
      </c>
      <c r="E1272" s="211">
        <f>MACRO!$F$110</f>
        <v>0</v>
      </c>
      <c r="G1272" s="72" t="str">
        <f t="shared" si="135"/>
        <v/>
      </c>
      <c r="L1272" s="209"/>
      <c r="N1272" s="209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6">
        <f t="shared" si="132"/>
        <v>96</v>
      </c>
      <c r="E1273" s="212">
        <f>MACRO!$G$110</f>
        <v>0</v>
      </c>
      <c r="G1273" s="72" t="str">
        <f t="shared" si="135"/>
        <v/>
      </c>
      <c r="L1273" s="209"/>
      <c r="N1273" s="209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6">
        <f t="shared" si="132"/>
        <v>96</v>
      </c>
      <c r="E1274" s="71">
        <f>ROUND(MACRO!$J$110,2)</f>
        <v>0</v>
      </c>
      <c r="G1274" s="72" t="str">
        <f t="shared" si="135"/>
        <v/>
      </c>
      <c r="L1274" s="209"/>
      <c r="N1274" s="209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6">
        <f t="shared" si="132"/>
        <v>96</v>
      </c>
      <c r="E1275" s="1">
        <f>IF($E$41=10,1000,9996)</f>
        <v>1000</v>
      </c>
      <c r="F1275" s="14"/>
      <c r="G1275" s="72" t="str">
        <f t="shared" si="135"/>
        <v/>
      </c>
      <c r="L1275" s="209"/>
      <c r="N1275" s="209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6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9"/>
      <c r="N1276" s="209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6">
        <f t="shared" si="132"/>
        <v>96</v>
      </c>
      <c r="E1277" s="210">
        <f>MACRO!I110</f>
        <v>0</v>
      </c>
      <c r="F1277" s="14"/>
      <c r="G1277" s="72" t="str">
        <f t="shared" si="135"/>
        <v/>
      </c>
      <c r="L1277" s="209"/>
      <c r="N1277" s="209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6">
        <f t="shared" si="132"/>
        <v>96</v>
      </c>
      <c r="E1278" s="71">
        <f>ROUND(MACRO!$I$110,2)</f>
        <v>0</v>
      </c>
      <c r="G1278" s="72" t="str">
        <f t="shared" si="135"/>
        <v/>
      </c>
      <c r="L1278" s="209"/>
      <c r="N1278" s="209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6">
        <f t="shared" si="132"/>
        <v>96</v>
      </c>
      <c r="E1279" s="11">
        <f>MACRO!E110</f>
        <v>0</v>
      </c>
      <c r="G1279" s="72" t="str">
        <f t="shared" si="135"/>
        <v/>
      </c>
      <c r="L1279" s="209"/>
      <c r="N1279" s="209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6">
        <f t="shared" si="132"/>
        <v>97</v>
      </c>
      <c r="E1280" s="215">
        <f>MACRO!A111</f>
        <v>97</v>
      </c>
      <c r="G1280" s="72" t="str">
        <f t="shared" si="135"/>
        <v/>
      </c>
      <c r="L1280" s="209"/>
      <c r="N1280" s="209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6">
        <f t="shared" si="132"/>
        <v>97</v>
      </c>
      <c r="E1281" s="37">
        <f>MACRO!$B$111</f>
        <v>0</v>
      </c>
      <c r="G1281" s="72" t="str">
        <f t="shared" si="135"/>
        <v/>
      </c>
      <c r="L1281" s="209"/>
      <c r="N1281" s="209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6">
        <f t="shared" si="132"/>
        <v>97</v>
      </c>
      <c r="E1282" t="s">
        <v>54</v>
      </c>
      <c r="F1282" s="14"/>
      <c r="G1282" s="72" t="str">
        <f t="shared" si="135"/>
        <v/>
      </c>
      <c r="L1282" s="209"/>
      <c r="N1282" s="209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6">
        <f t="shared" si="132"/>
        <v>97</v>
      </c>
      <c r="E1283" s="65">
        <f>MACRO!$C$111</f>
        <v>0</v>
      </c>
      <c r="G1283" s="72" t="str">
        <f t="shared" si="135"/>
        <v/>
      </c>
      <c r="L1283" s="209"/>
      <c r="N1283" s="209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6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9"/>
      <c r="N1284" s="209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6">
        <f t="shared" si="132"/>
        <v>97</v>
      </c>
      <c r="E1285" s="211">
        <f>MACRO!$F$111</f>
        <v>0</v>
      </c>
      <c r="G1285" s="72" t="str">
        <f t="shared" si="135"/>
        <v/>
      </c>
      <c r="L1285" s="209"/>
      <c r="N1285" s="209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6">
        <f t="shared" si="132"/>
        <v>97</v>
      </c>
      <c r="E1286" s="212">
        <f>MACRO!$G$111</f>
        <v>0</v>
      </c>
      <c r="G1286" s="72" t="str">
        <f t="shared" si="135"/>
        <v/>
      </c>
      <c r="L1286" s="209"/>
      <c r="N1286" s="209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6">
        <f t="shared" si="132"/>
        <v>97</v>
      </c>
      <c r="E1287" s="71">
        <f>ROUND(MACRO!$J$111,2)</f>
        <v>0</v>
      </c>
      <c r="G1287" s="72" t="str">
        <f t="shared" si="135"/>
        <v/>
      </c>
      <c r="L1287" s="209"/>
      <c r="N1287" s="209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6">
        <f t="shared" si="132"/>
        <v>97</v>
      </c>
      <c r="E1288" s="1">
        <f>IF($E$41=10,1000,9996)</f>
        <v>1000</v>
      </c>
      <c r="F1288" s="14"/>
      <c r="G1288" s="72" t="str">
        <f t="shared" si="135"/>
        <v/>
      </c>
      <c r="L1288" s="209"/>
      <c r="N1288" s="209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6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9"/>
      <c r="N1289" s="209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6">
        <f t="shared" si="132"/>
        <v>97</v>
      </c>
      <c r="E1290" s="210">
        <f>MACRO!I111</f>
        <v>0</v>
      </c>
      <c r="F1290" s="14"/>
      <c r="G1290" s="72" t="str">
        <f t="shared" si="135"/>
        <v/>
      </c>
      <c r="L1290" s="209"/>
      <c r="N1290" s="209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6">
        <f t="shared" si="132"/>
        <v>97</v>
      </c>
      <c r="E1291" s="71">
        <f>ROUND(MACRO!$I$111,2)</f>
        <v>0</v>
      </c>
      <c r="G1291" s="72" t="str">
        <f t="shared" si="135"/>
        <v/>
      </c>
      <c r="L1291" s="209"/>
      <c r="N1291" s="209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6">
        <f t="shared" si="132"/>
        <v>97</v>
      </c>
      <c r="E1292" s="11">
        <f>MACRO!E111</f>
        <v>0</v>
      </c>
      <c r="G1292" s="72" t="str">
        <f t="shared" si="135"/>
        <v/>
      </c>
      <c r="L1292" s="209"/>
      <c r="N1292" s="209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6">
        <f t="shared" ref="D1293:D1331" si="139">IF(C1293="NroLinDet",D1292+1,D1292)</f>
        <v>98</v>
      </c>
      <c r="E1293" s="215">
        <f>MACRO!A112</f>
        <v>98</v>
      </c>
      <c r="G1293" s="72" t="str">
        <f t="shared" si="135"/>
        <v/>
      </c>
      <c r="L1293" s="209"/>
      <c r="N1293" s="209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6">
        <f t="shared" si="139"/>
        <v>98</v>
      </c>
      <c r="E1294" s="37">
        <f>MACRO!$B$112</f>
        <v>0</v>
      </c>
      <c r="G1294" s="72" t="str">
        <f t="shared" si="135"/>
        <v/>
      </c>
      <c r="L1294" s="209"/>
      <c r="N1294" s="209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6">
        <f t="shared" si="139"/>
        <v>98</v>
      </c>
      <c r="E1295" t="s">
        <v>54</v>
      </c>
      <c r="F1295" s="14"/>
      <c r="G1295" s="72" t="str">
        <f t="shared" si="135"/>
        <v/>
      </c>
      <c r="L1295" s="209"/>
      <c r="N1295" s="209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6">
        <f t="shared" si="139"/>
        <v>98</v>
      </c>
      <c r="E1296" s="65">
        <f>MACRO!$C$112</f>
        <v>0</v>
      </c>
      <c r="G1296" s="72" t="str">
        <f t="shared" si="135"/>
        <v/>
      </c>
      <c r="L1296" s="209"/>
      <c r="N1296" s="209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6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9"/>
      <c r="N1297" s="209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6">
        <f t="shared" si="139"/>
        <v>98</v>
      </c>
      <c r="E1298" s="211">
        <f>MACRO!$F$112</f>
        <v>0</v>
      </c>
      <c r="G1298" s="72" t="str">
        <f t="shared" si="135"/>
        <v/>
      </c>
      <c r="L1298" s="209"/>
      <c r="N1298" s="209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6">
        <f t="shared" si="139"/>
        <v>98</v>
      </c>
      <c r="E1299" s="212">
        <f>MACRO!$G$112</f>
        <v>0</v>
      </c>
      <c r="G1299" s="72" t="str">
        <f t="shared" si="135"/>
        <v/>
      </c>
      <c r="L1299" s="209"/>
      <c r="N1299" s="209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6">
        <f t="shared" si="139"/>
        <v>98</v>
      </c>
      <c r="E1300" s="71">
        <f>ROUND(MACRO!$J$112,2)</f>
        <v>0</v>
      </c>
      <c r="G1300" s="72" t="str">
        <f t="shared" si="135"/>
        <v/>
      </c>
      <c r="L1300" s="209"/>
      <c r="N1300" s="209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6">
        <f t="shared" si="139"/>
        <v>98</v>
      </c>
      <c r="E1301" s="1">
        <f>IF($E$41=10,1000,9996)</f>
        <v>1000</v>
      </c>
      <c r="F1301" s="14"/>
      <c r="G1301" s="72" t="str">
        <f t="shared" si="135"/>
        <v/>
      </c>
      <c r="L1301" s="209"/>
      <c r="N1301" s="209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6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9"/>
      <c r="N1302" s="209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6">
        <f t="shared" si="139"/>
        <v>98</v>
      </c>
      <c r="E1303" s="210">
        <f>MACRO!I112</f>
        <v>0</v>
      </c>
      <c r="F1303" s="14"/>
      <c r="G1303" s="72" t="str">
        <f t="shared" si="135"/>
        <v/>
      </c>
      <c r="L1303" s="209"/>
      <c r="N1303" s="209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6">
        <f t="shared" si="139"/>
        <v>98</v>
      </c>
      <c r="E1304" s="71">
        <f>ROUND(MACRO!$I$112,2)</f>
        <v>0</v>
      </c>
      <c r="G1304" s="72" t="str">
        <f t="shared" si="135"/>
        <v/>
      </c>
      <c r="L1304" s="209"/>
      <c r="N1304" s="209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6">
        <f t="shared" si="139"/>
        <v>98</v>
      </c>
      <c r="E1305" s="11">
        <f>MACRO!E112</f>
        <v>0</v>
      </c>
      <c r="G1305" s="72" t="str">
        <f t="shared" si="135"/>
        <v/>
      </c>
      <c r="L1305" s="209"/>
      <c r="N1305" s="209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6">
        <f t="shared" si="139"/>
        <v>99</v>
      </c>
      <c r="E1306" s="215">
        <f>MACRO!A113</f>
        <v>99</v>
      </c>
      <c r="G1306" s="72" t="str">
        <f t="shared" si="135"/>
        <v/>
      </c>
      <c r="L1306" s="209"/>
      <c r="N1306" s="209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6">
        <f t="shared" si="139"/>
        <v>99</v>
      </c>
      <c r="E1307" s="37">
        <f>MACRO!$B$113</f>
        <v>0</v>
      </c>
      <c r="G1307" s="72" t="str">
        <f t="shared" si="135"/>
        <v/>
      </c>
      <c r="L1307" s="209"/>
      <c r="N1307" s="209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6">
        <f t="shared" si="139"/>
        <v>99</v>
      </c>
      <c r="E1308" t="s">
        <v>54</v>
      </c>
      <c r="F1308" s="14"/>
      <c r="G1308" s="72" t="str">
        <f t="shared" si="135"/>
        <v/>
      </c>
      <c r="L1308" s="209"/>
      <c r="N1308" s="209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6">
        <f t="shared" si="139"/>
        <v>99</v>
      </c>
      <c r="E1309" s="65">
        <f>MACRO!$C$113</f>
        <v>0</v>
      </c>
      <c r="G1309" s="72" t="str">
        <f t="shared" si="135"/>
        <v/>
      </c>
      <c r="L1309" s="209"/>
      <c r="N1309" s="209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6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9"/>
      <c r="N1310" s="209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6">
        <f t="shared" si="139"/>
        <v>99</v>
      </c>
      <c r="E1311" s="211">
        <f>MACRO!$F$113</f>
        <v>0</v>
      </c>
      <c r="G1311" s="72" t="str">
        <f t="shared" si="135"/>
        <v/>
      </c>
      <c r="L1311" s="209"/>
      <c r="N1311" s="209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6">
        <f t="shared" si="139"/>
        <v>99</v>
      </c>
      <c r="E1312" s="212">
        <f>MACRO!$G$113</f>
        <v>0</v>
      </c>
      <c r="G1312" s="72" t="str">
        <f t="shared" si="135"/>
        <v/>
      </c>
      <c r="L1312" s="209"/>
      <c r="N1312" s="209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6">
        <f t="shared" si="139"/>
        <v>99</v>
      </c>
      <c r="E1313" s="71">
        <f>ROUND(MACRO!$J$113,2)</f>
        <v>0</v>
      </c>
      <c r="G1313" s="72" t="str">
        <f t="shared" si="135"/>
        <v/>
      </c>
      <c r="L1313" s="209"/>
      <c r="N1313" s="209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6">
        <f t="shared" si="139"/>
        <v>99</v>
      </c>
      <c r="E1314" s="1">
        <f>IF($E$41=10,1000,9996)</f>
        <v>1000</v>
      </c>
      <c r="F1314" s="14"/>
      <c r="G1314" s="72" t="str">
        <f t="shared" si="135"/>
        <v/>
      </c>
      <c r="L1314" s="209"/>
      <c r="N1314" s="209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6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9"/>
      <c r="N1315" s="209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6">
        <f t="shared" si="139"/>
        <v>99</v>
      </c>
      <c r="E1316" s="210">
        <f>MACRO!I113</f>
        <v>0</v>
      </c>
      <c r="F1316" s="14"/>
      <c r="G1316" s="72" t="str">
        <f t="shared" ref="G1316:G1331" si="142">IF($A1316="go",CONCATENATE($B1316,";",$C1316,";",$D1316,";",$E1316),"")</f>
        <v/>
      </c>
      <c r="L1316" s="209"/>
      <c r="N1316" s="209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6">
        <f t="shared" si="139"/>
        <v>99</v>
      </c>
      <c r="E1317" s="71">
        <f>ROUND(MACRO!$I$113,2)</f>
        <v>0</v>
      </c>
      <c r="G1317" s="72" t="str">
        <f t="shared" si="142"/>
        <v/>
      </c>
      <c r="L1317" s="209"/>
      <c r="N1317" s="209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6">
        <f t="shared" si="139"/>
        <v>99</v>
      </c>
      <c r="E1318" s="11">
        <f>MACRO!E113</f>
        <v>0</v>
      </c>
      <c r="G1318" s="72" t="str">
        <f t="shared" si="142"/>
        <v/>
      </c>
      <c r="L1318" s="209"/>
      <c r="N1318" s="209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6">
        <f t="shared" si="139"/>
        <v>100</v>
      </c>
      <c r="E1319" s="215">
        <f>MACRO!A114</f>
        <v>100</v>
      </c>
      <c r="G1319" s="72" t="str">
        <f t="shared" si="142"/>
        <v/>
      </c>
      <c r="L1319" s="209"/>
      <c r="N1319" s="209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6">
        <f t="shared" si="139"/>
        <v>100</v>
      </c>
      <c r="E1320" s="37">
        <f>MACRO!$B$114</f>
        <v>0</v>
      </c>
      <c r="G1320" s="72" t="str">
        <f t="shared" si="142"/>
        <v/>
      </c>
      <c r="L1320" s="209"/>
      <c r="N1320" s="209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6">
        <f t="shared" si="139"/>
        <v>100</v>
      </c>
      <c r="E1321" t="s">
        <v>54</v>
      </c>
      <c r="F1321" s="14"/>
      <c r="G1321" s="72" t="str">
        <f t="shared" si="142"/>
        <v/>
      </c>
      <c r="L1321" s="209"/>
      <c r="N1321" s="209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6">
        <f t="shared" si="139"/>
        <v>100</v>
      </c>
      <c r="E1322" s="65">
        <f>MACRO!$C$114</f>
        <v>0</v>
      </c>
      <c r="G1322" s="72" t="str">
        <f t="shared" si="142"/>
        <v/>
      </c>
      <c r="L1322" s="209"/>
      <c r="N1322" s="209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6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9"/>
      <c r="N1323" s="209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6">
        <f t="shared" si="139"/>
        <v>100</v>
      </c>
      <c r="E1324" s="211">
        <f>MACRO!$F$114</f>
        <v>0</v>
      </c>
      <c r="G1324" s="72" t="str">
        <f t="shared" si="142"/>
        <v/>
      </c>
      <c r="L1324" s="209"/>
      <c r="N1324" s="209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6">
        <f t="shared" si="139"/>
        <v>100</v>
      </c>
      <c r="E1325" s="212">
        <f>MACRO!$G$114</f>
        <v>0</v>
      </c>
      <c r="G1325" s="72" t="str">
        <f t="shared" si="142"/>
        <v/>
      </c>
      <c r="L1325" s="209"/>
      <c r="N1325" s="209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6">
        <f t="shared" si="139"/>
        <v>100</v>
      </c>
      <c r="E1326" s="71">
        <f>ROUND(MACRO!$J$114,2)</f>
        <v>0</v>
      </c>
      <c r="G1326" s="72" t="str">
        <f t="shared" si="142"/>
        <v/>
      </c>
      <c r="L1326" s="209"/>
      <c r="N1326" s="209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6">
        <f t="shared" si="139"/>
        <v>100</v>
      </c>
      <c r="E1327" s="1">
        <f>IF($E$41=10,1000,9996)</f>
        <v>1000</v>
      </c>
      <c r="F1327" s="14"/>
      <c r="G1327" s="72" t="str">
        <f t="shared" si="142"/>
        <v/>
      </c>
      <c r="L1327" s="209"/>
      <c r="N1327" s="209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6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9"/>
      <c r="N1328" s="209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6">
        <f t="shared" si="139"/>
        <v>100</v>
      </c>
      <c r="E1329" s="210">
        <f>MACRO!I114</f>
        <v>0</v>
      </c>
      <c r="F1329" s="14"/>
      <c r="G1329" s="72" t="str">
        <f t="shared" si="142"/>
        <v/>
      </c>
      <c r="L1329" s="209"/>
      <c r="N1329" s="209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6">
        <f t="shared" si="139"/>
        <v>100</v>
      </c>
      <c r="E1330" s="71">
        <f>ROUND(MACRO!$I$114,2)</f>
        <v>0</v>
      </c>
      <c r="G1330" s="72" t="str">
        <f t="shared" si="142"/>
        <v/>
      </c>
      <c r="L1330" s="209"/>
      <c r="N1330" s="209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6">
        <f t="shared" si="139"/>
        <v>100</v>
      </c>
      <c r="E1331" s="11">
        <f>MACRO!E114</f>
        <v>0</v>
      </c>
      <c r="G1331" s="72" t="str">
        <f t="shared" si="142"/>
        <v/>
      </c>
      <c r="L1331" s="209"/>
      <c r="N1331" s="209"/>
    </row>
    <row r="1332" spans="1:14" x14ac:dyDescent="0.25">
      <c r="A1332" t="str">
        <f>$A$1335</f>
        <v>go</v>
      </c>
      <c r="B1332" t="s">
        <v>214</v>
      </c>
      <c r="C1332" t="s">
        <v>210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9"/>
    </row>
    <row r="1333" spans="1:14" x14ac:dyDescent="0.25">
      <c r="A1333" t="str">
        <f>$A$1335</f>
        <v>go</v>
      </c>
      <c r="B1333" t="s">
        <v>214</v>
      </c>
      <c r="C1333" t="s">
        <v>211</v>
      </c>
      <c r="D1333">
        <v>1</v>
      </c>
      <c r="E1333" t="str">
        <f>TEXT(MACRO!$C$10,"00")</f>
        <v>01</v>
      </c>
      <c r="G1333" s="72" t="str">
        <f t="shared" si="144"/>
        <v>D;TpoDocRef;1;01</v>
      </c>
      <c r="N1333" s="209"/>
    </row>
    <row r="1334" spans="1:14" x14ac:dyDescent="0.25">
      <c r="A1334" t="str">
        <f>$A$1335</f>
        <v>go</v>
      </c>
      <c r="B1334" t="s">
        <v>214</v>
      </c>
      <c r="C1334" t="s">
        <v>212</v>
      </c>
      <c r="D1334">
        <v>1</v>
      </c>
      <c r="E1334" t="str">
        <f>MACRO!$D$10</f>
        <v>F001</v>
      </c>
      <c r="G1334" s="72" t="str">
        <f t="shared" si="144"/>
        <v>D;SerieRef;1;F001</v>
      </c>
      <c r="N1334" s="209"/>
    </row>
    <row r="1335" spans="1:14" x14ac:dyDescent="0.25">
      <c r="A1335" t="str">
        <f>IF($E$1335&gt;0,"go","null")</f>
        <v>go</v>
      </c>
      <c r="B1335" t="s">
        <v>214</v>
      </c>
      <c r="C1335" t="s">
        <v>213</v>
      </c>
      <c r="D1335">
        <v>1</v>
      </c>
      <c r="E1335" t="str">
        <f>MACRO!$E$10</f>
        <v>5</v>
      </c>
      <c r="G1335" s="72" t="str">
        <f>IF($A1335="go",CONCATENATE($B1335,";",$C1335,";",$D1335,";",TEXT($E1335,"00000000")),"")</f>
        <v>D;FolioRef;1;00000005</v>
      </c>
      <c r="N1335" s="209"/>
    </row>
    <row r="1336" spans="1:14" x14ac:dyDescent="0.25">
      <c r="A1336" t="str">
        <f>$A$1338</f>
        <v>go</v>
      </c>
      <c r="B1336" t="s">
        <v>115</v>
      </c>
      <c r="C1336" t="s">
        <v>112</v>
      </c>
      <c r="D1336">
        <v>1</v>
      </c>
      <c r="E1336" s="213" t="s">
        <v>98</v>
      </c>
      <c r="G1336" s="72" t="str">
        <f t="shared" ref="G1336:G1347" si="145">IF($A1336="go",CONCATENATE($B1336,";",$C1336,";",$D1336,";",$E1336),"")</f>
        <v>E;TipoAdicSunat;1;01</v>
      </c>
      <c r="N1336" s="209"/>
    </row>
    <row r="1337" spans="1:14" x14ac:dyDescent="0.25">
      <c r="A1337" s="72" t="str">
        <f>$A$1338</f>
        <v>go</v>
      </c>
      <c r="B1337" t="s">
        <v>115</v>
      </c>
      <c r="C1337" t="s">
        <v>113</v>
      </c>
      <c r="D1337">
        <v>1</v>
      </c>
      <c r="E1337" s="213" t="s">
        <v>98</v>
      </c>
      <c r="G1337" s="72" t="str">
        <f t="shared" si="145"/>
        <v>E;NmrLineasAdicSunat;1;01</v>
      </c>
      <c r="N1337" s="209"/>
    </row>
    <row r="1338" spans="1:14" x14ac:dyDescent="0.25">
      <c r="A1338" s="72" t="str">
        <f>IF($E$1338="VACIO","null","go")</f>
        <v>go</v>
      </c>
      <c r="B1338" t="s">
        <v>115</v>
      </c>
      <c r="C1338" t="s">
        <v>114</v>
      </c>
      <c r="D1338">
        <v>1</v>
      </c>
      <c r="E1338" s="72">
        <f>IF(ISBLANK(MACRO!$G$9),"VACIO",MACRO!$G$9)</f>
        <v>111</v>
      </c>
      <c r="G1338" s="72" t="str">
        <f t="shared" si="145"/>
        <v>E;DescripcionAdicsunat;1;111</v>
      </c>
      <c r="N1338" s="209"/>
    </row>
    <row r="1339" spans="1:14" x14ac:dyDescent="0.25">
      <c r="A1339" s="72" t="str">
        <f>$A$1341</f>
        <v>go</v>
      </c>
      <c r="B1339" t="s">
        <v>115</v>
      </c>
      <c r="C1339" t="s">
        <v>112</v>
      </c>
      <c r="D1339">
        <v>2</v>
      </c>
      <c r="E1339" s="213" t="s">
        <v>98</v>
      </c>
      <c r="G1339" s="72" t="str">
        <f t="shared" si="145"/>
        <v>E;TipoAdicSunat;2;01</v>
      </c>
      <c r="N1339" s="209"/>
    </row>
    <row r="1340" spans="1:14" x14ac:dyDescent="0.25">
      <c r="A1340" s="72" t="str">
        <f>$A$1341</f>
        <v>go</v>
      </c>
      <c r="B1340" t="s">
        <v>115</v>
      </c>
      <c r="C1340" t="s">
        <v>113</v>
      </c>
      <c r="D1340">
        <v>2</v>
      </c>
      <c r="E1340" s="213" t="s">
        <v>215</v>
      </c>
      <c r="G1340" s="72" t="str">
        <f t="shared" si="145"/>
        <v>E;NmrLineasAdicSunat;2;02</v>
      </c>
      <c r="N1340" s="209"/>
    </row>
    <row r="1341" spans="1:14" x14ac:dyDescent="0.25">
      <c r="A1341" s="72" t="str">
        <f>IF($E$1341="VACIO","null","go")</f>
        <v>go</v>
      </c>
      <c r="B1341" t="s">
        <v>115</v>
      </c>
      <c r="C1341" t="s">
        <v>114</v>
      </c>
      <c r="D1341">
        <v>2</v>
      </c>
      <c r="E1341" s="72">
        <f>IF(ISBLANK(MACRO!$G$10),"VACIO",MACRO!$G$10)</f>
        <v>222</v>
      </c>
      <c r="G1341" s="72" t="str">
        <f t="shared" si="145"/>
        <v>E;DescripcionAdicsunat;2;222</v>
      </c>
      <c r="N1341" s="209"/>
    </row>
    <row r="1342" spans="1:14" x14ac:dyDescent="0.25">
      <c r="A1342" s="72" t="str">
        <f>$A$1344</f>
        <v>go</v>
      </c>
      <c r="B1342" t="s">
        <v>115</v>
      </c>
      <c r="C1342" t="s">
        <v>112</v>
      </c>
      <c r="D1342">
        <v>3</v>
      </c>
      <c r="E1342" s="213" t="s">
        <v>98</v>
      </c>
      <c r="G1342" s="72" t="str">
        <f t="shared" si="145"/>
        <v>E;TipoAdicSunat;3;01</v>
      </c>
      <c r="N1342" s="209"/>
    </row>
    <row r="1343" spans="1:14" x14ac:dyDescent="0.25">
      <c r="A1343" s="72" t="str">
        <f>$A$1344</f>
        <v>go</v>
      </c>
      <c r="B1343" t="s">
        <v>115</v>
      </c>
      <c r="C1343" t="s">
        <v>113</v>
      </c>
      <c r="D1343">
        <v>3</v>
      </c>
      <c r="E1343" s="213" t="s">
        <v>36</v>
      </c>
      <c r="G1343" s="72" t="str">
        <f t="shared" si="145"/>
        <v>E;NmrLineasAdicSunat;3;03</v>
      </c>
      <c r="N1343" s="209"/>
    </row>
    <row r="1344" spans="1:14" x14ac:dyDescent="0.25">
      <c r="A1344" s="72" t="str">
        <f>IF($E$1344="VACIO","null","go")</f>
        <v>go</v>
      </c>
      <c r="B1344" t="s">
        <v>115</v>
      </c>
      <c r="C1344" t="s">
        <v>114</v>
      </c>
      <c r="D1344">
        <v>3</v>
      </c>
      <c r="E1344" s="72">
        <f>IF(ISBLANK(MACRO!$G$11),"VACIO",MACRO!$G$11)</f>
        <v>333</v>
      </c>
      <c r="G1344" s="72" t="str">
        <f t="shared" si="145"/>
        <v>E;DescripcionAdicsunat;3;333</v>
      </c>
      <c r="N1344" s="209"/>
    </row>
    <row r="1345" spans="1:14" x14ac:dyDescent="0.25">
      <c r="A1345" s="72" t="str">
        <f>$A$1347</f>
        <v>go</v>
      </c>
      <c r="B1345" t="s">
        <v>115</v>
      </c>
      <c r="C1345" t="s">
        <v>112</v>
      </c>
      <c r="D1345">
        <v>4</v>
      </c>
      <c r="E1345" s="213" t="s">
        <v>98</v>
      </c>
      <c r="G1345" s="72" t="str">
        <f t="shared" si="145"/>
        <v>E;TipoAdicSunat;4;01</v>
      </c>
      <c r="N1345" s="209"/>
    </row>
    <row r="1346" spans="1:14" x14ac:dyDescent="0.25">
      <c r="A1346" s="72" t="str">
        <f>$A$1347</f>
        <v>go</v>
      </c>
      <c r="B1346" t="s">
        <v>115</v>
      </c>
      <c r="C1346" t="s">
        <v>113</v>
      </c>
      <c r="D1346">
        <v>4</v>
      </c>
      <c r="E1346" s="213" t="s">
        <v>216</v>
      </c>
      <c r="G1346" s="72" t="str">
        <f t="shared" si="145"/>
        <v>E;NmrLineasAdicSunat;4;04</v>
      </c>
      <c r="N1346" s="209"/>
    </row>
    <row r="1347" spans="1:14" x14ac:dyDescent="0.25">
      <c r="A1347" s="72" t="str">
        <f>IF($E$1347="VACIO","null","go")</f>
        <v>go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OBS AAA</v>
      </c>
      <c r="G1347" s="72" t="str">
        <f t="shared" si="145"/>
        <v>E;DescripcionAdicsunat;4;OBS AAA</v>
      </c>
      <c r="N1347" s="209"/>
    </row>
    <row r="1348" spans="1:14" x14ac:dyDescent="0.25">
      <c r="A1348" s="72"/>
      <c r="N1348" s="209"/>
    </row>
    <row r="1349" spans="1:14" x14ac:dyDescent="0.25">
      <c r="A1349" s="72"/>
      <c r="N1349" s="209"/>
    </row>
    <row r="1350" spans="1:14" x14ac:dyDescent="0.25">
      <c r="A1350" s="72"/>
      <c r="N1350" s="209"/>
    </row>
    <row r="1351" spans="1:14" x14ac:dyDescent="0.25">
      <c r="A1351" s="72"/>
      <c r="N1351" s="209"/>
    </row>
    <row r="1352" spans="1:14" hidden="1" x14ac:dyDescent="0.25">
      <c r="A1352" s="72"/>
      <c r="N1352" s="209" t="s">
        <v>1538</v>
      </c>
    </row>
    <row r="1353" spans="1:14" hidden="1" x14ac:dyDescent="0.25">
      <c r="A1353" s="72"/>
      <c r="N1353" s="209" t="s">
        <v>1539</v>
      </c>
    </row>
    <row r="1354" spans="1:14" hidden="1" x14ac:dyDescent="0.25">
      <c r="A1354" s="72"/>
      <c r="N1354" s="209" t="s">
        <v>1540</v>
      </c>
    </row>
    <row r="1355" spans="1:14" hidden="1" x14ac:dyDescent="0.25">
      <c r="A1355" s="72"/>
      <c r="N1355" s="209" t="s">
        <v>1532</v>
      </c>
    </row>
    <row r="1356" spans="1:14" hidden="1" x14ac:dyDescent="0.25">
      <c r="A1356" s="72"/>
      <c r="N1356" s="209" t="s">
        <v>1541</v>
      </c>
    </row>
    <row r="1357" spans="1:14" hidden="1" x14ac:dyDescent="0.25">
      <c r="A1357" s="72"/>
      <c r="N1357" s="209" t="s">
        <v>1542</v>
      </c>
    </row>
    <row r="1358" spans="1:14" hidden="1" x14ac:dyDescent="0.25">
      <c r="A1358" s="72"/>
      <c r="N1358" s="209" t="s">
        <v>1533</v>
      </c>
    </row>
    <row r="1359" spans="1:14" hidden="1" x14ac:dyDescent="0.25">
      <c r="A1359" s="72"/>
      <c r="N1359" s="209" t="s">
        <v>1534</v>
      </c>
    </row>
    <row r="1360" spans="1:14" hidden="1" x14ac:dyDescent="0.25">
      <c r="A1360" s="72"/>
      <c r="N1360" s="209" t="s">
        <v>54</v>
      </c>
    </row>
    <row r="1361" spans="1:14" hidden="1" x14ac:dyDescent="0.25">
      <c r="A1361" s="72"/>
      <c r="N1361" s="209" t="s">
        <v>1531</v>
      </c>
    </row>
    <row r="1362" spans="1:14" hidden="1" x14ac:dyDescent="0.25">
      <c r="A1362" s="72"/>
      <c r="N1362" s="209" t="s">
        <v>1535</v>
      </c>
    </row>
    <row r="1363" spans="1:14" hidden="1" x14ac:dyDescent="0.25">
      <c r="A1363" s="72"/>
      <c r="N1363" s="209" t="s">
        <v>1536</v>
      </c>
    </row>
    <row r="1364" spans="1:14" hidden="1" x14ac:dyDescent="0.25">
      <c r="A1364" s="72"/>
      <c r="N1364" s="209" t="s">
        <v>1537</v>
      </c>
    </row>
    <row r="1365" spans="1:14" hidden="1" x14ac:dyDescent="0.25">
      <c r="A1365" s="72"/>
      <c r="N1365" s="209" t="s">
        <v>1538</v>
      </c>
    </row>
    <row r="1366" spans="1:14" hidden="1" x14ac:dyDescent="0.25">
      <c r="A1366" s="72"/>
      <c r="N1366" s="209" t="s">
        <v>1539</v>
      </c>
    </row>
    <row r="1367" spans="1:14" hidden="1" x14ac:dyDescent="0.25">
      <c r="A1367" s="72"/>
      <c r="N1367" s="209" t="s">
        <v>1540</v>
      </c>
    </row>
    <row r="1368" spans="1:14" hidden="1" x14ac:dyDescent="0.25">
      <c r="A1368" s="72"/>
      <c r="N1368" s="209" t="s">
        <v>1532</v>
      </c>
    </row>
    <row r="1369" spans="1:14" hidden="1" x14ac:dyDescent="0.25">
      <c r="A1369" s="72"/>
      <c r="N1369" s="209" t="s">
        <v>1541</v>
      </c>
    </row>
    <row r="1370" spans="1:14" hidden="1" x14ac:dyDescent="0.25">
      <c r="A1370" s="72"/>
      <c r="N1370" s="209" t="s">
        <v>1542</v>
      </c>
    </row>
    <row r="1371" spans="1:14" hidden="1" x14ac:dyDescent="0.25">
      <c r="A1371" s="72"/>
      <c r="N1371" s="209" t="s">
        <v>1533</v>
      </c>
    </row>
    <row r="1372" spans="1:14" hidden="1" x14ac:dyDescent="0.25">
      <c r="A1372" s="72"/>
      <c r="N1372" s="209" t="s">
        <v>1534</v>
      </c>
    </row>
    <row r="1373" spans="1:14" hidden="1" x14ac:dyDescent="0.25">
      <c r="A1373" s="72"/>
      <c r="N1373" s="209" t="s">
        <v>54</v>
      </c>
    </row>
    <row r="1374" spans="1:14" hidden="1" x14ac:dyDescent="0.25">
      <c r="A1374" s="72"/>
      <c r="N1374" s="209" t="s">
        <v>1531</v>
      </c>
    </row>
    <row r="1375" spans="1:14" hidden="1" x14ac:dyDescent="0.25">
      <c r="A1375" s="72"/>
      <c r="N1375" s="209" t="s">
        <v>1535</v>
      </c>
    </row>
    <row r="1376" spans="1:14" hidden="1" x14ac:dyDescent="0.25">
      <c r="A1376" s="72"/>
      <c r="N1376" s="209" t="s">
        <v>1536</v>
      </c>
    </row>
    <row r="1377" spans="1:14" hidden="1" x14ac:dyDescent="0.25">
      <c r="A1377" s="72"/>
      <c r="N1377" s="209" t="s">
        <v>1537</v>
      </c>
    </row>
    <row r="1378" spans="1:14" hidden="1" x14ac:dyDescent="0.25">
      <c r="A1378" s="72"/>
      <c r="N1378" s="209" t="s">
        <v>1538</v>
      </c>
    </row>
    <row r="1379" spans="1:14" hidden="1" x14ac:dyDescent="0.25">
      <c r="A1379" s="72"/>
      <c r="N1379" s="209" t="s">
        <v>1539</v>
      </c>
    </row>
    <row r="1380" spans="1:14" hidden="1" x14ac:dyDescent="0.25">
      <c r="A1380" s="72"/>
      <c r="N1380" s="209" t="s">
        <v>1540</v>
      </c>
    </row>
    <row r="1381" spans="1:14" hidden="1" x14ac:dyDescent="0.25">
      <c r="A1381" s="72"/>
      <c r="N1381" s="209" t="s">
        <v>1532</v>
      </c>
    </row>
    <row r="1382" spans="1:14" hidden="1" x14ac:dyDescent="0.25">
      <c r="A1382" s="72"/>
      <c r="N1382" s="209" t="s">
        <v>1541</v>
      </c>
    </row>
    <row r="1383" spans="1:14" hidden="1" x14ac:dyDescent="0.25">
      <c r="A1383" s="72"/>
      <c r="N1383" s="209" t="s">
        <v>1542</v>
      </c>
    </row>
    <row r="1384" spans="1:14" hidden="1" x14ac:dyDescent="0.25">
      <c r="A1384" s="72"/>
      <c r="N1384" s="209" t="s">
        <v>1533</v>
      </c>
    </row>
    <row r="1385" spans="1:14" hidden="1" x14ac:dyDescent="0.25">
      <c r="A1385" s="72"/>
      <c r="N1385" s="209" t="s">
        <v>1534</v>
      </c>
    </row>
    <row r="1386" spans="1:14" hidden="1" x14ac:dyDescent="0.25">
      <c r="A1386" s="72"/>
      <c r="N1386" s="209" t="s">
        <v>54</v>
      </c>
    </row>
    <row r="1387" spans="1:14" hidden="1" x14ac:dyDescent="0.25">
      <c r="A1387" s="72"/>
      <c r="N1387" s="209" t="s">
        <v>1531</v>
      </c>
    </row>
    <row r="1388" spans="1:14" hidden="1" x14ac:dyDescent="0.25">
      <c r="A1388" s="72"/>
      <c r="N1388" s="209" t="s">
        <v>1535</v>
      </c>
    </row>
    <row r="1389" spans="1:14" hidden="1" x14ac:dyDescent="0.25">
      <c r="A1389" s="72"/>
      <c r="N1389" s="209" t="s">
        <v>1536</v>
      </c>
    </row>
    <row r="1390" spans="1:14" hidden="1" x14ac:dyDescent="0.25">
      <c r="A1390" s="72"/>
      <c r="N1390" s="209" t="s">
        <v>1537</v>
      </c>
    </row>
    <row r="1391" spans="1:14" hidden="1" x14ac:dyDescent="0.25">
      <c r="A1391" s="72"/>
      <c r="N1391" s="209" t="s">
        <v>1538</v>
      </c>
    </row>
    <row r="1392" spans="1:14" hidden="1" x14ac:dyDescent="0.25">
      <c r="A1392" s="72"/>
      <c r="N1392" s="209" t="s">
        <v>1539</v>
      </c>
    </row>
    <row r="1393" spans="1:14" hidden="1" x14ac:dyDescent="0.25">
      <c r="A1393" s="72"/>
      <c r="N1393" s="209" t="s">
        <v>1540</v>
      </c>
    </row>
    <row r="1394" spans="1:14" hidden="1" x14ac:dyDescent="0.25">
      <c r="A1394" s="72"/>
      <c r="N1394" s="209" t="s">
        <v>1532</v>
      </c>
    </row>
    <row r="1395" spans="1:14" hidden="1" x14ac:dyDescent="0.25">
      <c r="A1395" s="72"/>
      <c r="N1395" s="209" t="s">
        <v>1541</v>
      </c>
    </row>
    <row r="1396" spans="1:14" hidden="1" x14ac:dyDescent="0.25">
      <c r="A1396" s="72"/>
      <c r="N1396" s="209" t="s">
        <v>1542</v>
      </c>
    </row>
    <row r="1397" spans="1:14" hidden="1" x14ac:dyDescent="0.25">
      <c r="A1397" s="72"/>
      <c r="N1397" s="209" t="s">
        <v>1533</v>
      </c>
    </row>
    <row r="1398" spans="1:14" hidden="1" x14ac:dyDescent="0.25">
      <c r="A1398" s="72"/>
      <c r="N1398" s="209" t="s">
        <v>1534</v>
      </c>
    </row>
    <row r="1399" spans="1:14" hidden="1" x14ac:dyDescent="0.25">
      <c r="A1399" s="72"/>
      <c r="N1399" s="209" t="s">
        <v>54</v>
      </c>
    </row>
    <row r="1400" spans="1:14" hidden="1" x14ac:dyDescent="0.25">
      <c r="A1400" s="72"/>
      <c r="N1400" s="209" t="s">
        <v>1531</v>
      </c>
    </row>
    <row r="1401" spans="1:14" hidden="1" x14ac:dyDescent="0.25">
      <c r="A1401" s="72"/>
      <c r="N1401" s="209" t="s">
        <v>1535</v>
      </c>
    </row>
    <row r="1402" spans="1:14" hidden="1" x14ac:dyDescent="0.25">
      <c r="A1402" s="72"/>
      <c r="N1402" s="209" t="s">
        <v>1536</v>
      </c>
    </row>
    <row r="1403" spans="1:14" hidden="1" x14ac:dyDescent="0.25">
      <c r="A1403" s="72"/>
      <c r="N1403" s="209" t="s">
        <v>1537</v>
      </c>
    </row>
    <row r="1404" spans="1:14" hidden="1" x14ac:dyDescent="0.25">
      <c r="A1404" s="72"/>
      <c r="N1404" s="209" t="s">
        <v>1538</v>
      </c>
    </row>
    <row r="1405" spans="1:14" hidden="1" x14ac:dyDescent="0.25">
      <c r="A1405" s="72"/>
      <c r="N1405" s="209" t="s">
        <v>1539</v>
      </c>
    </row>
    <row r="1406" spans="1:14" hidden="1" x14ac:dyDescent="0.25">
      <c r="A1406" s="72"/>
      <c r="N1406" s="209" t="s">
        <v>1540</v>
      </c>
    </row>
    <row r="1407" spans="1:14" hidden="1" x14ac:dyDescent="0.25">
      <c r="A1407" s="72"/>
      <c r="N1407" s="209" t="s">
        <v>1532</v>
      </c>
    </row>
    <row r="1408" spans="1:14" hidden="1" x14ac:dyDescent="0.25">
      <c r="A1408" s="72"/>
      <c r="N1408" s="209" t="s">
        <v>1541</v>
      </c>
    </row>
    <row r="1409" spans="1:14" hidden="1" x14ac:dyDescent="0.25">
      <c r="A1409" s="72"/>
      <c r="N1409" s="209" t="s">
        <v>1542</v>
      </c>
    </row>
    <row r="1410" spans="1:14" hidden="1" x14ac:dyDescent="0.25">
      <c r="A1410" s="72"/>
      <c r="N1410" s="209" t="s">
        <v>1533</v>
      </c>
    </row>
    <row r="1411" spans="1:14" hidden="1" x14ac:dyDescent="0.25">
      <c r="A1411" s="72"/>
      <c r="N1411" s="209" t="s">
        <v>1534</v>
      </c>
    </row>
    <row r="1412" spans="1:14" hidden="1" x14ac:dyDescent="0.25">
      <c r="A1412" s="72"/>
      <c r="N1412" s="209" t="s">
        <v>54</v>
      </c>
    </row>
    <row r="1413" spans="1:14" hidden="1" x14ac:dyDescent="0.25">
      <c r="A1413" s="72"/>
      <c r="N1413" s="209" t="s">
        <v>1531</v>
      </c>
    </row>
    <row r="1414" spans="1:14" hidden="1" x14ac:dyDescent="0.25">
      <c r="A1414" s="72"/>
      <c r="N1414" s="209" t="s">
        <v>1535</v>
      </c>
    </row>
    <row r="1415" spans="1:14" hidden="1" x14ac:dyDescent="0.25">
      <c r="A1415" s="72"/>
      <c r="N1415" s="209" t="s">
        <v>1536</v>
      </c>
    </row>
    <row r="1416" spans="1:14" hidden="1" x14ac:dyDescent="0.25">
      <c r="A1416" s="72"/>
      <c r="N1416" s="209" t="s">
        <v>1537</v>
      </c>
    </row>
    <row r="1417" spans="1:14" hidden="1" x14ac:dyDescent="0.25">
      <c r="A1417" s="72"/>
      <c r="N1417" s="209" t="s">
        <v>1538</v>
      </c>
    </row>
    <row r="1418" spans="1:14" hidden="1" x14ac:dyDescent="0.25">
      <c r="A1418" s="72"/>
      <c r="N1418" s="209" t="s">
        <v>1539</v>
      </c>
    </row>
    <row r="1419" spans="1:14" hidden="1" x14ac:dyDescent="0.25">
      <c r="A1419" s="72"/>
      <c r="N1419" s="209" t="s">
        <v>1540</v>
      </c>
    </row>
    <row r="1420" spans="1:14" hidden="1" x14ac:dyDescent="0.25">
      <c r="A1420" s="72"/>
      <c r="N1420" s="209" t="s">
        <v>1532</v>
      </c>
    </row>
    <row r="1421" spans="1:14" hidden="1" x14ac:dyDescent="0.25">
      <c r="A1421" s="72"/>
      <c r="N1421" s="209" t="s">
        <v>1541</v>
      </c>
    </row>
    <row r="1422" spans="1:14" hidden="1" x14ac:dyDescent="0.25">
      <c r="A1422" s="72"/>
      <c r="N1422" s="209" t="s">
        <v>1542</v>
      </c>
    </row>
    <row r="1423" spans="1:14" hidden="1" x14ac:dyDescent="0.25">
      <c r="A1423" s="72"/>
      <c r="N1423" s="209" t="s">
        <v>1533</v>
      </c>
    </row>
    <row r="1424" spans="1:14" hidden="1" x14ac:dyDescent="0.25">
      <c r="A1424" s="72"/>
      <c r="N1424" s="209" t="s">
        <v>1534</v>
      </c>
    </row>
    <row r="1425" spans="1:14" hidden="1" x14ac:dyDescent="0.25">
      <c r="A1425" s="72"/>
      <c r="N1425" s="209" t="s">
        <v>54</v>
      </c>
    </row>
    <row r="1426" spans="1:14" hidden="1" x14ac:dyDescent="0.25">
      <c r="A1426" s="72"/>
      <c r="N1426" s="209" t="s">
        <v>1531</v>
      </c>
    </row>
    <row r="1427" spans="1:14" hidden="1" x14ac:dyDescent="0.25">
      <c r="A1427" s="72"/>
      <c r="N1427" s="209" t="s">
        <v>1535</v>
      </c>
    </row>
    <row r="1428" spans="1:14" hidden="1" x14ac:dyDescent="0.25">
      <c r="A1428" s="72"/>
      <c r="N1428" s="209" t="s">
        <v>1536</v>
      </c>
    </row>
    <row r="1429" spans="1:14" hidden="1" x14ac:dyDescent="0.25">
      <c r="A1429" s="72"/>
      <c r="N1429" s="209" t="s">
        <v>1537</v>
      </c>
    </row>
    <row r="1430" spans="1:14" hidden="1" x14ac:dyDescent="0.25">
      <c r="A1430" s="72"/>
      <c r="N1430" s="209" t="s">
        <v>1538</v>
      </c>
    </row>
    <row r="1431" spans="1:14" hidden="1" x14ac:dyDescent="0.25">
      <c r="A1431" s="72"/>
      <c r="N1431" s="209" t="s">
        <v>1539</v>
      </c>
    </row>
    <row r="1432" spans="1:14" hidden="1" x14ac:dyDescent="0.25">
      <c r="A1432" s="72"/>
      <c r="N1432" s="209" t="s">
        <v>1540</v>
      </c>
    </row>
    <row r="1433" spans="1:14" hidden="1" x14ac:dyDescent="0.25">
      <c r="A1433" s="72"/>
      <c r="N1433" s="209" t="s">
        <v>1532</v>
      </c>
    </row>
    <row r="1434" spans="1:14" hidden="1" x14ac:dyDescent="0.25">
      <c r="A1434" s="72"/>
      <c r="N1434" s="209" t="s">
        <v>1541</v>
      </c>
    </row>
    <row r="1435" spans="1:14" hidden="1" x14ac:dyDescent="0.25">
      <c r="A1435" s="72"/>
      <c r="N1435" s="209" t="s">
        <v>1542</v>
      </c>
    </row>
    <row r="1436" spans="1:14" hidden="1" x14ac:dyDescent="0.25">
      <c r="A1436" s="72"/>
    </row>
    <row r="1437" spans="1:14" hidden="1" x14ac:dyDescent="0.25">
      <c r="A1437" s="72"/>
    </row>
    <row r="1438" spans="1:14" hidden="1" x14ac:dyDescent="0.25">
      <c r="A1438" s="72"/>
    </row>
    <row r="1439" spans="1:14" hidden="1" x14ac:dyDescent="0.25">
      <c r="A1439" s="72"/>
    </row>
    <row r="1440" spans="1:14" hidden="1" x14ac:dyDescent="0.25">
      <c r="A1440" s="72"/>
    </row>
    <row r="1441" spans="1:1" hidden="1" x14ac:dyDescent="0.25">
      <c r="A1441" s="72"/>
    </row>
    <row r="1442" spans="1:1" hidden="1" x14ac:dyDescent="0.25">
      <c r="A1442" s="72"/>
    </row>
    <row r="1443" spans="1:1" hidden="1" x14ac:dyDescent="0.25">
      <c r="A1443" s="72"/>
    </row>
    <row r="1444" spans="1:1" hidden="1" x14ac:dyDescent="0.25">
      <c r="A1444" s="72"/>
    </row>
    <row r="1445" spans="1:1" hidden="1" x14ac:dyDescent="0.25">
      <c r="A1445" s="72"/>
    </row>
    <row r="1446" spans="1:1" hidden="1" x14ac:dyDescent="0.25">
      <c r="A1446" s="72"/>
    </row>
    <row r="1447" spans="1:1" hidden="1" x14ac:dyDescent="0.25">
      <c r="A1447" s="72"/>
    </row>
    <row r="1448" spans="1:1" hidden="1" x14ac:dyDescent="0.25">
      <c r="A1448" s="72"/>
    </row>
    <row r="1449" spans="1:1" hidden="1" x14ac:dyDescent="0.25">
      <c r="A1449" s="72"/>
    </row>
    <row r="1450" spans="1:1" hidden="1" x14ac:dyDescent="0.25">
      <c r="A1450" s="72"/>
    </row>
    <row r="1451" spans="1:1" hidden="1" x14ac:dyDescent="0.25">
      <c r="A1451" s="72"/>
    </row>
    <row r="1452" spans="1:1" hidden="1" x14ac:dyDescent="0.25">
      <c r="A1452" s="72"/>
    </row>
    <row r="1453" spans="1:1" hidden="1" x14ac:dyDescent="0.25">
      <c r="A1453" s="72"/>
    </row>
    <row r="1454" spans="1:1" hidden="1" x14ac:dyDescent="0.25">
      <c r="A1454" s="72"/>
    </row>
    <row r="1455" spans="1:1" hidden="1" x14ac:dyDescent="0.25">
      <c r="A1455" s="72"/>
    </row>
    <row r="1456" spans="1:1" hidden="1" x14ac:dyDescent="0.25">
      <c r="A1456" s="72"/>
    </row>
    <row r="1457" spans="1:1" hidden="1" x14ac:dyDescent="0.25">
      <c r="A1457" s="72"/>
    </row>
    <row r="1458" spans="1:1" hidden="1" x14ac:dyDescent="0.25">
      <c r="A1458" s="72"/>
    </row>
    <row r="1459" spans="1:1" hidden="1" x14ac:dyDescent="0.25">
      <c r="A1459" s="72"/>
    </row>
    <row r="1460" spans="1:1" hidden="1" x14ac:dyDescent="0.25">
      <c r="A1460" s="72"/>
    </row>
    <row r="1461" spans="1:1" hidden="1" x14ac:dyDescent="0.25">
      <c r="A1461" s="72"/>
    </row>
    <row r="1462" spans="1:1" hidden="1" x14ac:dyDescent="0.25">
      <c r="A1462" s="72"/>
    </row>
    <row r="1463" spans="1:1" hidden="1" x14ac:dyDescent="0.25">
      <c r="A1463" s="72"/>
    </row>
    <row r="1464" spans="1:1" hidden="1" x14ac:dyDescent="0.25">
      <c r="A1464" s="72"/>
    </row>
    <row r="1465" spans="1:1" hidden="1" x14ac:dyDescent="0.25">
      <c r="A1465" s="72"/>
    </row>
    <row r="1466" spans="1:1" hidden="1" x14ac:dyDescent="0.25">
      <c r="A1466" s="72"/>
    </row>
    <row r="1467" spans="1:1" hidden="1" x14ac:dyDescent="0.25">
      <c r="A1467" s="72"/>
    </row>
    <row r="1468" spans="1:1" hidden="1" x14ac:dyDescent="0.25">
      <c r="A1468" s="72"/>
    </row>
    <row r="1469" spans="1:1" hidden="1" x14ac:dyDescent="0.25">
      <c r="A1469" s="72"/>
    </row>
    <row r="1470" spans="1:1" hidden="1" x14ac:dyDescent="0.25">
      <c r="A1470" s="72"/>
    </row>
    <row r="1471" spans="1:1" hidden="1" x14ac:dyDescent="0.25">
      <c r="A1471" s="72"/>
    </row>
    <row r="1472" spans="1:1" hidden="1" x14ac:dyDescent="0.25">
      <c r="A1472" s="72"/>
    </row>
    <row r="1473" spans="1:1" hidden="1" x14ac:dyDescent="0.25">
      <c r="A1473" s="72"/>
    </row>
    <row r="1474" spans="1:1" hidden="1" x14ac:dyDescent="0.25">
      <c r="A1474" s="72"/>
    </row>
    <row r="1475" spans="1:1" hidden="1" x14ac:dyDescent="0.25">
      <c r="A1475" s="72"/>
    </row>
    <row r="1476" spans="1:1" hidden="1" x14ac:dyDescent="0.25">
      <c r="A1476" s="72"/>
    </row>
    <row r="1477" spans="1:1" hidden="1" x14ac:dyDescent="0.25">
      <c r="A1477" s="72"/>
    </row>
    <row r="1478" spans="1:1" hidden="1" x14ac:dyDescent="0.25">
      <c r="A1478" s="72"/>
    </row>
    <row r="1479" spans="1:1" hidden="1" x14ac:dyDescent="0.25">
      <c r="A1479" s="72"/>
    </row>
    <row r="1480" spans="1:1" hidden="1" x14ac:dyDescent="0.25">
      <c r="A1480" s="72"/>
    </row>
    <row r="1481" spans="1:1" hidden="1" x14ac:dyDescent="0.25">
      <c r="A1481" s="72"/>
    </row>
    <row r="1482" spans="1:1" hidden="1" x14ac:dyDescent="0.25">
      <c r="A1482" s="72"/>
    </row>
    <row r="1483" spans="1:1" hidden="1" x14ac:dyDescent="0.25">
      <c r="A1483" s="72"/>
    </row>
    <row r="1484" spans="1:1" hidden="1" x14ac:dyDescent="0.25">
      <c r="A1484" s="72"/>
    </row>
    <row r="1485" spans="1:1" hidden="1" x14ac:dyDescent="0.25">
      <c r="A1485" s="72"/>
    </row>
    <row r="1486" spans="1:1" hidden="1" x14ac:dyDescent="0.25">
      <c r="A1486" s="72"/>
    </row>
    <row r="1487" spans="1:1" hidden="1" x14ac:dyDescent="0.25">
      <c r="A1487" s="72"/>
    </row>
    <row r="1488" spans="1:1" hidden="1" x14ac:dyDescent="0.25">
      <c r="A1488" s="72"/>
    </row>
    <row r="1489" spans="1:1" hidden="1" x14ac:dyDescent="0.25">
      <c r="A1489" s="72"/>
    </row>
    <row r="1490" spans="1:1" hidden="1" x14ac:dyDescent="0.25">
      <c r="A1490" s="72"/>
    </row>
    <row r="1491" spans="1:1" hidden="1" x14ac:dyDescent="0.25">
      <c r="A1491" s="72"/>
    </row>
    <row r="1492" spans="1:1" hidden="1" x14ac:dyDescent="0.25">
      <c r="A1492" s="72"/>
    </row>
    <row r="1493" spans="1:1" hidden="1" x14ac:dyDescent="0.25">
      <c r="A1493" s="72"/>
    </row>
    <row r="1494" spans="1:1" hidden="1" x14ac:dyDescent="0.25">
      <c r="A1494" s="72"/>
    </row>
    <row r="1495" spans="1:1" hidden="1" x14ac:dyDescent="0.25">
      <c r="A1495" s="72"/>
    </row>
    <row r="1496" spans="1:1" hidden="1" x14ac:dyDescent="0.25">
      <c r="A1496" s="72"/>
    </row>
    <row r="1497" spans="1:1" hidden="1" x14ac:dyDescent="0.25">
      <c r="A1497" s="72"/>
    </row>
    <row r="1498" spans="1:1" hidden="1" x14ac:dyDescent="0.25">
      <c r="A1498" s="72"/>
    </row>
    <row r="1499" spans="1:1" hidden="1" x14ac:dyDescent="0.25">
      <c r="A1499" s="72"/>
    </row>
    <row r="1500" spans="1:1" hidden="1" x14ac:dyDescent="0.25">
      <c r="A1500" s="72"/>
    </row>
    <row r="1501" spans="1:1" hidden="1" x14ac:dyDescent="0.25">
      <c r="A1501" s="72"/>
    </row>
    <row r="1502" spans="1:1" hidden="1" x14ac:dyDescent="0.25">
      <c r="A1502" s="72"/>
    </row>
    <row r="1503" spans="1:1" hidden="1" x14ac:dyDescent="0.25">
      <c r="A1503" s="72"/>
    </row>
    <row r="1504" spans="1:1" hidden="1" x14ac:dyDescent="0.25">
      <c r="A1504" s="72"/>
    </row>
    <row r="1505" spans="1:1" hidden="1" x14ac:dyDescent="0.25">
      <c r="A1505" s="72"/>
    </row>
    <row r="1506" spans="1:1" hidden="1" x14ac:dyDescent="0.25">
      <c r="A1506" s="72"/>
    </row>
    <row r="1507" spans="1:1" hidden="1" x14ac:dyDescent="0.25">
      <c r="A1507" s="72"/>
    </row>
    <row r="1508" spans="1:1" hidden="1" x14ac:dyDescent="0.25">
      <c r="A1508" s="72"/>
    </row>
    <row r="1509" spans="1:1" hidden="1" x14ac:dyDescent="0.25">
      <c r="A1509" s="72"/>
    </row>
    <row r="1510" spans="1:1" hidden="1" x14ac:dyDescent="0.25">
      <c r="A1510" s="72"/>
    </row>
    <row r="1511" spans="1:1" hidden="1" x14ac:dyDescent="0.25">
      <c r="A1511" s="72"/>
    </row>
    <row r="1512" spans="1:1" hidden="1" x14ac:dyDescent="0.25">
      <c r="A1512" s="72"/>
    </row>
    <row r="1513" spans="1:1" hidden="1" x14ac:dyDescent="0.25">
      <c r="A1513" s="72"/>
    </row>
    <row r="1514" spans="1:1" hidden="1" x14ac:dyDescent="0.25">
      <c r="A1514" s="72"/>
    </row>
    <row r="1515" spans="1:1" hidden="1" x14ac:dyDescent="0.25">
      <c r="A1515" s="72"/>
    </row>
    <row r="1516" spans="1:1" hidden="1" x14ac:dyDescent="0.25">
      <c r="A1516" s="72"/>
    </row>
    <row r="1517" spans="1:1" hidden="1" x14ac:dyDescent="0.25">
      <c r="A1517" s="72"/>
    </row>
    <row r="1518" spans="1:1" hidden="1" x14ac:dyDescent="0.25">
      <c r="A1518" s="72"/>
    </row>
    <row r="1519" spans="1:1" hidden="1" x14ac:dyDescent="0.25">
      <c r="A1519" s="72"/>
    </row>
    <row r="1520" spans="1:1" hidden="1" x14ac:dyDescent="0.25">
      <c r="A1520" s="72"/>
    </row>
    <row r="1521" spans="1:1" hidden="1" x14ac:dyDescent="0.25">
      <c r="A1521" s="72"/>
    </row>
    <row r="1522" spans="1:1" hidden="1" x14ac:dyDescent="0.25">
      <c r="A1522" s="72"/>
    </row>
    <row r="1523" spans="1:1" hidden="1" x14ac:dyDescent="0.25">
      <c r="A1523" s="72"/>
    </row>
    <row r="1524" spans="1:1" hidden="1" x14ac:dyDescent="0.25">
      <c r="A1524" s="72"/>
    </row>
    <row r="1525" spans="1:1" hidden="1" x14ac:dyDescent="0.25">
      <c r="A1525" s="72"/>
    </row>
    <row r="1526" spans="1:1" hidden="1" x14ac:dyDescent="0.25">
      <c r="A1526" s="72"/>
    </row>
    <row r="1527" spans="1:1" hidden="1" x14ac:dyDescent="0.25">
      <c r="A1527" s="72"/>
    </row>
    <row r="1528" spans="1:1" hidden="1" x14ac:dyDescent="0.25">
      <c r="A1528" s="72"/>
    </row>
    <row r="1529" spans="1:1" hidden="1" x14ac:dyDescent="0.25">
      <c r="A1529" s="72"/>
    </row>
    <row r="1530" spans="1:1" hidden="1" x14ac:dyDescent="0.25">
      <c r="A1530" s="72"/>
    </row>
    <row r="1531" spans="1:1" hidden="1" x14ac:dyDescent="0.25">
      <c r="A1531" s="72"/>
    </row>
    <row r="1532" spans="1:1" hidden="1" x14ac:dyDescent="0.25">
      <c r="A1532" s="72"/>
    </row>
    <row r="1533" spans="1:1" hidden="1" x14ac:dyDescent="0.25">
      <c r="A1533" s="72"/>
    </row>
    <row r="1534" spans="1:1" hidden="1" x14ac:dyDescent="0.25">
      <c r="A1534" s="72"/>
    </row>
    <row r="1535" spans="1:1" hidden="1" x14ac:dyDescent="0.25">
      <c r="A1535" s="72"/>
    </row>
    <row r="1536" spans="1:1" hidden="1" x14ac:dyDescent="0.25">
      <c r="A1536" s="72"/>
    </row>
    <row r="1537" spans="1:1" hidden="1" x14ac:dyDescent="0.25">
      <c r="A1537" s="72"/>
    </row>
    <row r="1538" spans="1:1" hidden="1" x14ac:dyDescent="0.25">
      <c r="A1538" s="72"/>
    </row>
    <row r="1539" spans="1:1" hidden="1" x14ac:dyDescent="0.25">
      <c r="A1539" s="72"/>
    </row>
    <row r="1540" spans="1:1" hidden="1" x14ac:dyDescent="0.25">
      <c r="A1540" s="72"/>
    </row>
    <row r="1541" spans="1:1" hidden="1" x14ac:dyDescent="0.25">
      <c r="A1541" s="72"/>
    </row>
    <row r="1542" spans="1:1" hidden="1" x14ac:dyDescent="0.25">
      <c r="A1542" s="72"/>
    </row>
    <row r="1543" spans="1:1" hidden="1" x14ac:dyDescent="0.25">
      <c r="A1543" s="72"/>
    </row>
    <row r="1544" spans="1:1" hidden="1" x14ac:dyDescent="0.25">
      <c r="A1544" s="72"/>
    </row>
    <row r="1545" spans="1:1" hidden="1" x14ac:dyDescent="0.25">
      <c r="A1545" s="72"/>
    </row>
    <row r="1546" spans="1:1" hidden="1" x14ac:dyDescent="0.25">
      <c r="A1546" s="72"/>
    </row>
    <row r="1547" spans="1:1" hidden="1" x14ac:dyDescent="0.25">
      <c r="A1547" s="72"/>
    </row>
    <row r="1548" spans="1:1" hidden="1" x14ac:dyDescent="0.25">
      <c r="A1548" s="72"/>
    </row>
    <row r="1549" spans="1:1" hidden="1" x14ac:dyDescent="0.25">
      <c r="A1549" s="72"/>
    </row>
    <row r="1550" spans="1:1" hidden="1" x14ac:dyDescent="0.25">
      <c r="A1550" s="72"/>
    </row>
    <row r="1551" spans="1:1" hidden="1" x14ac:dyDescent="0.25">
      <c r="A1551" s="72"/>
    </row>
    <row r="1552" spans="1:1" hidden="1" x14ac:dyDescent="0.25">
      <c r="A1552" s="72"/>
    </row>
    <row r="1553" spans="1:1" hidden="1" x14ac:dyDescent="0.25">
      <c r="A1553" s="72"/>
    </row>
    <row r="1554" spans="1:1" hidden="1" x14ac:dyDescent="0.25">
      <c r="A1554" s="72"/>
    </row>
    <row r="1555" spans="1:1" hidden="1" x14ac:dyDescent="0.25">
      <c r="A1555" s="72"/>
    </row>
    <row r="1556" spans="1:1" hidden="1" x14ac:dyDescent="0.25">
      <c r="A1556" s="72"/>
    </row>
    <row r="1557" spans="1:1" hidden="1" x14ac:dyDescent="0.25">
      <c r="A1557" s="72"/>
    </row>
    <row r="1558" spans="1:1" hidden="1" x14ac:dyDescent="0.25">
      <c r="A1558" s="72"/>
    </row>
    <row r="1559" spans="1:1" hidden="1" x14ac:dyDescent="0.25">
      <c r="A1559" s="72"/>
    </row>
    <row r="1560" spans="1:1" hidden="1" x14ac:dyDescent="0.25">
      <c r="A1560" s="72"/>
    </row>
    <row r="1561" spans="1:1" hidden="1" x14ac:dyDescent="0.25">
      <c r="A1561" s="72"/>
    </row>
    <row r="1562" spans="1:1" hidden="1" x14ac:dyDescent="0.25">
      <c r="A1562" s="72"/>
    </row>
    <row r="1563" spans="1:1" x14ac:dyDescent="0.25">
      <c r="A1563" s="72"/>
    </row>
    <row r="1564" spans="1:1" x14ac:dyDescent="0.25">
      <c r="A1564" s="7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464</v>
      </c>
      <c r="B1" s="102" t="s">
        <v>98</v>
      </c>
    </row>
    <row r="2" spans="1:2" x14ac:dyDescent="0.25">
      <c r="A2" s="99" t="s">
        <v>465</v>
      </c>
      <c r="B2" s="102" t="s">
        <v>215</v>
      </c>
    </row>
    <row r="3" spans="1:2" x14ac:dyDescent="0.25">
      <c r="A3" s="99" t="s">
        <v>466</v>
      </c>
      <c r="B3" s="102" t="s">
        <v>36</v>
      </c>
    </row>
    <row r="4" spans="1:2" x14ac:dyDescent="0.25">
      <c r="A4" s="99" t="s">
        <v>467</v>
      </c>
      <c r="B4" s="102" t="s">
        <v>216</v>
      </c>
    </row>
    <row r="5" spans="1:2" x14ac:dyDescent="0.25">
      <c r="A5" s="99" t="s">
        <v>468</v>
      </c>
      <c r="B5" s="102" t="s">
        <v>343</v>
      </c>
    </row>
    <row r="6" spans="1:2" x14ac:dyDescent="0.25">
      <c r="A6" s="99" t="s">
        <v>469</v>
      </c>
      <c r="B6" s="102" t="s">
        <v>99</v>
      </c>
    </row>
    <row r="7" spans="1:2" x14ac:dyDescent="0.25">
      <c r="A7" s="99" t="s">
        <v>470</v>
      </c>
      <c r="B7" s="102" t="s">
        <v>68</v>
      </c>
    </row>
    <row r="8" spans="1:2" x14ac:dyDescent="0.25">
      <c r="A8" s="99" t="s">
        <v>471</v>
      </c>
      <c r="B8" s="102" t="s">
        <v>347</v>
      </c>
    </row>
    <row r="9" spans="1:2" x14ac:dyDescent="0.25">
      <c r="A9" s="99" t="s">
        <v>472</v>
      </c>
      <c r="B9" s="102" t="s">
        <v>349</v>
      </c>
    </row>
    <row r="10" spans="1:2" x14ac:dyDescent="0.25">
      <c r="A10" s="99" t="s">
        <v>473</v>
      </c>
      <c r="B10" s="102" t="s">
        <v>107</v>
      </c>
    </row>
    <row r="11" spans="1:2" x14ac:dyDescent="0.25">
      <c r="A11" s="99" t="s">
        <v>474</v>
      </c>
      <c r="B11" s="102">
        <v>11</v>
      </c>
    </row>
    <row r="12" spans="1:2" x14ac:dyDescent="0.25">
      <c r="A12" s="99" t="s">
        <v>475</v>
      </c>
      <c r="B12" s="102">
        <v>12</v>
      </c>
    </row>
    <row r="13" spans="1:2" x14ac:dyDescent="0.25">
      <c r="A13" s="120" t="s">
        <v>476</v>
      </c>
      <c r="B13" s="119">
        <v>13</v>
      </c>
    </row>
    <row r="14" spans="1:2" x14ac:dyDescent="0.25">
      <c r="A14" s="99" t="s">
        <v>478</v>
      </c>
      <c r="B14" s="102" t="s">
        <v>98</v>
      </c>
    </row>
    <row r="15" spans="1:2" x14ac:dyDescent="0.25">
      <c r="A15" s="99" t="s">
        <v>479</v>
      </c>
      <c r="B15" s="102" t="s">
        <v>215</v>
      </c>
    </row>
    <row r="16" spans="1:2" x14ac:dyDescent="0.25">
      <c r="A16" s="99" t="s">
        <v>480</v>
      </c>
      <c r="B16" s="102" t="s">
        <v>36</v>
      </c>
    </row>
    <row r="17" spans="1:2" x14ac:dyDescent="0.25">
      <c r="A17" s="99" t="s">
        <v>474</v>
      </c>
      <c r="B17" s="102">
        <v>11</v>
      </c>
    </row>
    <row r="18" spans="1:2" x14ac:dyDescent="0.25">
      <c r="A18" s="99" t="s">
        <v>475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2023-02-18T00:12:59Z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