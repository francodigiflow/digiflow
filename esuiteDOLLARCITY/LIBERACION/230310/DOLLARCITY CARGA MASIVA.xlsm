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LIBERACION\230310\"/>
    </mc:Choice>
  </mc:AlternateContent>
  <xr:revisionPtr revIDLastSave="0" documentId="8_{0F8A549C-5636-4723-B63D-F4386928ED27}" xr6:coauthVersionLast="47" xr6:coauthVersionMax="47" xr10:uidLastSave="{00000000-0000-0000-0000-000000000000}"/>
  <bookViews>
    <workbookView xWindow="-120" yWindow="-120" windowWidth="19440" windowHeight="1056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E1353" i="37" s="1"/>
  <c r="A1353" i="37" s="1"/>
  <c r="I9" i="5"/>
  <c r="E1350" i="37" s="1"/>
  <c r="A1350" i="37" s="1"/>
  <c r="A1349" i="37" s="1"/>
  <c r="G1349" i="37" s="1"/>
  <c r="A1351" i="37" l="1"/>
  <c r="G1351" i="37" s="1"/>
  <c r="A1352" i="37"/>
  <c r="G1352" i="37" s="1"/>
  <c r="G1353" i="37"/>
  <c r="G1350" i="37"/>
  <c r="A1348" i="37"/>
  <c r="G1348" i="37" s="1"/>
  <c r="E31" i="37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E21" i="37"/>
  <c r="A21" i="37" s="1"/>
  <c r="E20" i="37"/>
  <c r="A1347" i="37" l="1"/>
  <c r="A1346" i="37" s="1"/>
  <c r="G1346" i="37" s="1"/>
  <c r="G45" i="37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1347" i="37" l="1"/>
  <c r="A1345" i="37"/>
  <c r="G1345" i="37" s="1"/>
  <c r="G77" i="37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<sst xmlns="http://schemas.openxmlformats.org/spreadsheetml/2006/main" count="5193" uniqueCount="1546">
  <si>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</si>
  <si>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</si>
  <si>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</si>
  <si>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</si>
  <si>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</si>
  <si>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</si>
  <si>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</si>
  <si>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</si>
  <si>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</si>
  <si>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</si>
  <si>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</si>
  <si>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</si>
  <si>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</si>
  <si>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</si>
  <si>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</si>
  <si>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</si>
  <si>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</si>
  <si>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</si>
  <si>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</si>
  <si>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</si>
  <si>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</si>
  <si>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</si>
  <si>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</si>
  <si>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</si>
  <si>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</si>
  <si>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</si>
  <si>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</si>
  <si>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</si>
  <si>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</si>
  <si>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</si>
  <si>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</si>
  <si>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</si>
  <si>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</si>
  <si>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</si>
  <si>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</si>
  <si>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</si>
  <si>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</si>
  <si>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</si>
  <si>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</si>
  <si>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</si>
  <si>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</si>
  <si>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</si>
  <si>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</si>
  <si>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</si>
  <si>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</si>
  <si>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</si>
  <si>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</si>
  <si>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</si>
  <si>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</si>
  <si>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</si>
  <si>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</si>
  <si>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</si>
  <si>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</si>
  <si>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</si>
  <si>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</si>
  <si>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</si>
  <si>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</si>
  <si>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</si>
  <si>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</si>
  <si>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</si>
  <si>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</si>
  <si>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</si>
  <si>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</si>
  <si>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</si>
  <si>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</si>
  <si>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</si>
  <si>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</si>
  <si>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</si>
  <si>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</si>
  <si>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</si>
  <si>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</si>
  <si>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</si>
  <si>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</si>
  <si>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</si>
  <si>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</si>
  <si>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</si>
  <si>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</si>
  <si>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</si>
  <si>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</si>
  <si>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</si>
  <si>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</si>
  <si>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</si>
  <si>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</si>
  <si>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</si>
  <si>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</si>
  <si>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</si>
  <si>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</si>
  <si>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</si>
  <si>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</si>
  <si>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</si>
  <si>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</si>
  <si>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</si>
  <si>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</si>
  <si>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</si>
  <si>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</si>
  <si>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</si>
  <si>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</si>
  <si>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</si>
  <si>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</si>
  <si>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</si>
  <si>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</si>
  <si>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</si>
  <si>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</si>
  <si>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</si>
  <si>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</si>
  <si>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</si>
  <si>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</si>
  <si>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</si>
  <si>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</si>
  <si>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</si>
  <si>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</si>
  <si>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</si>
  <si>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</si>
  <si>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</si>
  <si>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</si>
  <si>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</si>
  <si>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</si>
  <si>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</si>
  <si>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</si>
  <si>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</si>
  <si>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</si>
  <si>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</si>
  <si>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</si>
  <si>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</si>
  <si>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</si>
  <si>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</si>
  <si>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</si>
  <si>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</si>
  <si>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</si>
  <si>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</si>
  <si>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</si>
  <si>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</si>
  <si>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</si>
  <si>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</si>
  <si>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</si>
  <si>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</si>
  <si>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</si>
  <si>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</si>
  <si>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</si>
  <si>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</si>
  <si>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</si>
  <si>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</si>
  <si>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</si>
  <si>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</si>
  <si>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</si>
  <si>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</si>
  <si>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</si>
  <si>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</si>
  <si>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</si>
  <si>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</si>
  <si>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</si>
  <si>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</si>
  <si>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</si>
  <si>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</si>
  <si>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</si>
  <si>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</si>
  <si>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</si>
  <si>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</si>
  <si>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</si>
  <si>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</si>
  <si>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</si>
  <si>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</si>
  <si>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</si>
  <si>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</si>
  <si>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</si>
  <si>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</si>
  <si>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</si>
  <si>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</si>
  <si>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</si>
  <si>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</si>
  <si>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</si>
  <si>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</si>
  <si>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</si>
  <si>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</si>
  <si>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</si>
  <si>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</si>
  <si>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</si>
  <si>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</si>
  <si>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</si>
  <si>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</si>
  <si>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</si>
  <si>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</si>
  <si>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</si>
  <si>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</si>
  <si>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</si>
  <si>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</si>
  <si>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</si>
  <si>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</si>
  <si>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</si>
  <si>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</si>
  <si>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</si>
  <si>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</si>
  <si>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</si>
  <si>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</si>
  <si>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</si>
  <si>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</si>
  <si>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</si>
  <si>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</si>
  <si>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</si>
  <si>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</si>
  <si>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</si>
  <si>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</si>
  <si>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</si>
  <si>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</si>
  <si>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</si>
  <si>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</si>
  <si>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</si>
  <si>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</si>
  <si>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</si>
  <si>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</si>
  <si>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</si>
  <si>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</si>
  <si>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</si>
  <si>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</si>
  <si>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</si>
  <si>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</si>
  <si>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</si>
  <si>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</si>
  <si>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</si>
  <si>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</si>
  <si>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</si>
  <si>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</si>
  <si>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</si>
  <si>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</si>
  <si>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</si>
  <si>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</si>
  <si>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</si>
  <si>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</si>
  <si>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</si>
  <si>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</si>
  <si>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</si>
  <si>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</si>
  <si>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</si>
  <si>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</si>
  <si>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</si>
  <si>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</si>
  <si>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</si>
  <si>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</si>
  <si>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</si>
  <si>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</si>
  <si>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</si>
  <si>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</si>
  <si>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</si>
  <si>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</si>
  <si>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</si>
  <si>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</si>
  <si>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</si>
  <si>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</si>
  <si>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</si>
  <si>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</si>
  <si>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</si>
  <si>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</si>
  <si>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</si>
  <si>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</si>
  <si>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</si>
  <si>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</si>
  <si>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</si>
  <si>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</si>
  <si>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</si>
  <si>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</si>
  <si>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</si>
  <si>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</si>
  <si>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</si>
  <si>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</si>
  <si>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</si>
  <si>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</si>
  <si>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</si>
  <si>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</si>
  <si>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</si>
  <si>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</si>
  <si>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</si>
  <si>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</si>
  <si>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</si>
  <si>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</si>
  <si>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</si>
  <si>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</si>
  <si>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</si>
  <si>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</si>
  <si>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</si>
  <si>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</si>
  <si>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</si>
  <si>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</si>
  <si>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</si>
  <si>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</si>
  <si>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</si>
  <si>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</si>
  <si>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</si>
  <si>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</si>
  <si>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</si>
  <si>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</si>
  <si>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</si>
  <si>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</si>
  <si>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</si>
  <si>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</si>
  <si>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</si>
  <si>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</si>
  <si>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</si>
  <si>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</si>
  <si>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</si>
  <si>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</si>
  <si>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</si>
  <si>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</si>
  <si>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</si>
  <si>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</si>
  <si>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</si>
  <si>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</si>
  <si>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</si>
  <si>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</si>
  <si>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</si>
  <si>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</si>
  <si>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</si>
  <si>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</si>
  <si>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</si>
  <si>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</si>
  <si>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</si>
  <si>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</si>
  <si>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</si>
  <si>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</si>
  <si>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</si>
  <si>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</si>
  <si>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</si>
  <si>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</si>
  <si>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</si>
  <si>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</si>
  <si>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</si>
  <si>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</si>
  <si>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</si>
  <si>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</si>
  <si>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</si>
  <si>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</si>
  <si>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</si>
  <si>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</si>
  <si>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</si>
  <si>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</si>
  <si>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</si>
  <si>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</si>
  <si>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</si>
  <si>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</si>
  <si>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</si>
  <si>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</si>
  <si>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</si>
  <si>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</si>
  <si>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</si>
  <si>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</si>
  <si>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</si>
  <si>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</si>
  <si>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</si>
  <si>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</si>
  <si>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</si>
  <si>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</si>
  <si>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</si>
  <si>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</si>
  <si>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</si>
  <si>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</si>
  <si>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</si>
  <si>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</si>
  <si>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</si>
  <si>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</si>
  <si>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</si>
  <si>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</si>
  <si>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</si>
  <si>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</si>
  <si>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</si>
  <si>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</si>
  <si>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</si>
  <si>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</si>
  <si>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</si>
  <si>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</si>
  <si>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</si>
  <si>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</si>
  <si>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</si>
  <si>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</si>
  <si>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</si>
  <si>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</si>
  <si>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</si>
  <si>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</si>
  <si>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</si>
  <si>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</si>
  <si>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</si>
  <si>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</si>
  <si>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</si>
  <si>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</si>
  <si>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</si>
  <si>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</si>
  <si>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</si>
  <si>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</si>
  <si>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</si>
  <si>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</si>
  <si>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</si>
  <si>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</si>
  <si>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</si>
  <si>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</si>
  <si>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</si>
  <si>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</si>
  <si>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</si>
  <si>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</si>
  <si>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</si>
  <si>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</si>
  <si>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</si>
  <si>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</si>
  <si>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</si>
  <si>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</si>
  <si>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</si>
  <si>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</si>
  <si>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</si>
  <si>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</si>
  <si>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</si>
  <si>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</si>
  <si>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</si>
  <si>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</si>
  <si>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</si>
  <si>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</si>
  <si>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</si>
  <si>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</si>
  <si>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</si>
  <si>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</si>
  <si>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</si>
  <si>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</si>
  <si>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</si>
  <si>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</si>
  <si>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</si>
  <si>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</si>
  <si>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</si>
  <si>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</si>
  <si>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</si>
  <si>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</si>
  <si>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</si>
  <si>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</si>
  <si>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</si>
  <si>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</si>
  <si>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</si>
  <si>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</si>
  <si>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</si>
  <si>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</si>
  <si>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</si>
  <si>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</si>
  <si>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</si>
  <si>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</si>
  <si>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</si>
  <si>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</si>
  <si>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</si>
  <si>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</si>
  <si>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</si>
  <si>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</si>
  <si>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</si>
  <si>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</si>
  <si>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</si>
  <si>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</si>
  <si>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</si>
  <si>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</si>
  <si>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</si>
  <si>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</si>
  <si>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</si>
  <si>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</si>
  <si>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</si>
  <si>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</si>
  <si>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</si>
  <si>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</si>
  <si>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</si>
  <si>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</si>
  <si>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</si>
  <si>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</si>
  <si>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</si>
  <si>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</si>
  <si>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</si>
  <si>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</si>
  <si>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</si>
  <si>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</si>
  <si>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</si>
  <si>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</si>
  <si>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</si>
  <si>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</si>
  <si>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</si>
  <si>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</si>
  <si>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</si>
  <si>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</si>
  <si>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</si>
  <si>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</si>
  <si>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</si>
  <si>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</si>
  <si>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</si>
  <si>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</si>
  <si>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</si>
  <si>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</si>
  <si>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</si>
  <si>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</si>
  <si>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</si>
  <si>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</si>
  <si>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</si>
  <si>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</si>
  <si>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</si>
  <si>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</si>
  <si>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</si>
  <si>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</si>
  <si>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</si>
  <si>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</si>
  <si>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</si>
  <si>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</si>
  <si>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</si>
  <si>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</si>
  <si>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</si>
  <si>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</si>
  <si>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</si>
  <si>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</si>
  <si>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</si>
  <si>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</si>
  <si>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</si>
  <si>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</si>
  <si>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</si>
  <si>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</si>
  <si>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</si>
  <si>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</si>
  <si>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</si>
  <si>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</si>
  <si>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</si>
  <si>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</si>
  <si>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</si>
  <si>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</si>
  <si>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</si>
  <si>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</si>
  <si>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</si>
  <si>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</si>
  <si>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</si>
  <si>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</si>
  <si>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</si>
  <si>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</si>
  <si>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</si>
  <si>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</si>
  <si>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</si>
  <si>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</si>
  <si>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</si>
  <si>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</si>
  <si>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</si>
  <si>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</si>
  <si>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</si>
  <si>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</si>
  <si>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</si>
  <si>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</si>
  <si>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</si>
  <si>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</si>
  <si>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</si>
  <si>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</si>
  <si>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</si>
  <si>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</si>
  <si>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</si>
  <si>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</si>
  <si>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</si>
  <si>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</si>
  <si>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</si>
  <si>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</si>
  <si>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</si>
  <si>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</si>
  <si>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</si>
  <si>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</si>
  <si>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</si>
  <si>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</si>
  <si>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</si>
  <si>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</si>
  <si>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</si>
  <si>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</si>
  <si>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</si>
  <si>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</si>
  <si>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</si>
  <si>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</si>
  <si>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</si>
  <si>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</si>
  <si>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</si>
  <si>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</si>
  <si>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</si>
  <si>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</si>
  <si>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</si>
  <si>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</si>
  <si>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</si>
  <si>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</si>
  <si>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</si>
  <si>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</si>
  <si>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</si>
  <si>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</si>
  <si>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</si>
  <si>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</si>
  <si>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</si>
  <si>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</si>
  <si>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</si>
  <si>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</si>
  <si>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</si>
  <si>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</si>
  <si>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</si>
  <si>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</si>
  <si>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</si>
  <si>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</si>
  <si>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</si>
  <si>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</si>
  <si>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</si>
  <si>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</si>
  <si>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</si>
  <si>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</si>
  <si>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</si>
  <si>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</si>
  <si>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</si>
  <si>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</si>
  <si>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</si>
  <si>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</si>
  <si>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</si>
  <si>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</si>
  <si>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</si>
  <si>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</si>
  <si>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</si>
  <si>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</si>
  <si>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</si>
  <si>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</si>
  <si>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</si>
  <si>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</si>
  <si>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</si>
  <si>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</si>
  <si>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</si>
  <si>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</si>
  <si>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</si>
  <si>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</si>
  <si>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</si>
  <si>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</si>
  <si>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</si>
  <si>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</si>
  <si>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</si>
  <si>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</si>
  <si>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</si>
  <si>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</si>
  <si>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</si>
  <si>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</si>
  <si>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</si>
  <si>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</si>
  <si>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</si>
  <si>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</si>
  <si>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</si>
  <si>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</si>
  <si>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</si>
  <si>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</si>
  <si>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</si>
  <si>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</si>
  <si>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</si>
  <si>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</si>
  <si>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</si>
  <si>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</si>
  <si>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</si>
  <si>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</si>
  <si>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</si>
  <si>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</si>
  <si>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</si>
  <si>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</si>
  <si>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</si>
  <si>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</si>
  <si>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</si>
  <si>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</si>
  <si>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</si>
  <si>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</si>
  <si>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</si>
  <si>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</si>
  <si>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</si>
  <si>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</si>
  <si>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</si>
  <si>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</si>
  <si>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</si>
  <si>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</si>
  <si>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</si>
  <si>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</si>
  <si>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</si>
  <si>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</si>
  <si>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</si>
  <si>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</si>
  <si>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</si>
  <si>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</si>
  <si>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</si>
  <si>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</si>
  <si>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</si>
  <si>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</si>
  <si>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</si>
  <si>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</si>
  <si>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</si>
  <si>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</si>
  <si>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</si>
  <si>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</si>
  <si>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</si>
  <si>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</si>
  <si>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</si>
  <si>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</si>
  <si>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</si>
  <si>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</si>
  <si>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</si>
  <si>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</si>
  <si>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</si>
  <si>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</si>
  <si>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</si>
  <si>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</si>
  <si>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</si>
  <si>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</si>
  <si>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</si>
  <si>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</si>
  <si>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</si>
  <si>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</si>
  <si>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</si>
  <si>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</si>
  <si>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</si>
  <si>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</si>
  <si>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</si>
  <si>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</si>
  <si>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</si>
  <si>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</si>
  <si>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</si>
  <si>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</si>
  <si>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</si>
  <si>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</si>
  <si>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</si>
  <si>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</si>
  <si>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</si>
  <si>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</si>
  <si>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</si>
  <si>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</si>
  <si>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</si>
  <si>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</si>
  <si>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</si>
  <si>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</si>
  <si>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</si>
  <si>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</si>
  <si>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</si>
  <si>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</si>
  <si>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</si>
  <si>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</si>
  <si>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</si>
  <si>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</si>
  <si>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</si>
  <si>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</si>
  <si>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</si>
  <si>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</si>
  <si>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</si>
  <si>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</si>
  <si>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</si>
  <si>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</si>
  <si>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</si>
  <si>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</si>
  <si>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</si>
  <si>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</si>
  <si>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</si>
  <si>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</si>
  <si>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</si>
  <si>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</si>
  <si>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</si>
  <si>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</si>
  <si>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</si>
  <si>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</si>
  <si>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</si>
  <si>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</si>
  <si>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</si>
  <si>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</si>
  <si>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</si>
  <si>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</si>
  <si>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</si>
  <si>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</si>
  <si>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</si>
  <si>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</si>
  <si>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</si>
  <si>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</si>
  <si>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</si>
  <si>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</si>
  <si>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</si>
  <si>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</si>
  <si>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</si>
  <si>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</si>
  <si>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</si>
  <si>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</si>
  <si>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</si>
  <si>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</si>
  <si>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</si>
  <si>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</si>
  <si>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</si>
  <si>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</si>
  <si>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</si>
  <si>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</si>
  <si>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</si>
  <si>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</si>
  <si>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</si>
  <si>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</si>
  <si>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</si>
  <si>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</si>
  <si>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</si>
  <si>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</si>
  <si>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</si>
  <si>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</si>
  <si>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</si>
  <si>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</si>
  <si>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</si>
  <si>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</si>
  <si>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</si>
  <si>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</si>
  <si>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</si>
  <si>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</si>
  <si>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</si>
  <si>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</si>
  <si>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</si>
  <si>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</si>
  <si>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</si>
  <si>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</si>
  <si>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</si>
  <si>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</si>
  <si>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</si>
  <si>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</si>
  <si>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</si>
  <si>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</si>
  <si>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</si>
  <si>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</si>
  <si>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</si>
  <si>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</si>
  <si>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</si>
  <si>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</si>
  <si>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</si>
  <si>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</si>
  <si>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</si>
  <si>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</si>
  <si>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</si>
  <si>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</si>
  <si>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</si>
  <si>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</si>
  <si>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</si>
  <si>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</si>
  <si>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</si>
  <si>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</si>
  <si>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</si>
  <si>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</si>
  <si>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</si>
  <si>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</si>
  <si>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</si>
  <si>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</si>
  <si>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</si>
  <si>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</si>
  <si>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</si>
  <si>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</si>
  <si>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</si>
  <si>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</si>
  <si>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</si>
  <si>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</si>
  <si>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</si>
  <si>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</si>
  <si>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</si>
  <si>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</si>
  <si>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</si>
  <si>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</si>
  <si>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</si>
  <si>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</si>
  <si>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</si>
  <si>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</si>
  <si>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</si>
  <si>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</si>
  <si>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</si>
  <si>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</si>
  <si>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</si>
  <si>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</si>
  <si>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</si>
  <si>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</si>
  <si>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</si>
  <si>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</si>
  <si>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</si>
  <si>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</si>
  <si>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</si>
  <si>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</si>
  <si>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</si>
  <si>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</si>
  <si>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</si>
  <si>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</si>
  <si>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</si>
  <si>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</si>
  <si>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</si>
  <si>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</si>
  <si>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</si>
  <si>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</si>
  <si>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</si>
  <si>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</si>
  <si>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</si>
  <si>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</si>
  <si>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</si>
  <si>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</si>
  <si>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</si>
  <si>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</si>
  <si>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</si>
  <si>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</si>
  <si>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</si>
  <si>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</si>
  <si>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</si>
  <si>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</si>
  <si>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</si>
  <si>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</si>
  <si>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</si>
  <si>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</si>
  <si>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</si>
  <si>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</si>
  <si>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</si>
  <si>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</si>
  <si>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</si>
  <si>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</si>
  <si>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</si>
  <si>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</si>
  <si>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</si>
  <si>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</si>
  <si>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</si>
  <si>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</si>
  <si>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</si>
  <si>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</si>
  <si>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</si>
  <si>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</si>
  <si>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</si>
  <si>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</si>
  <si>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</si>
  <si>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</si>
  <si>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</si>
  <si>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</si>
  <si>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</si>
  <si>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</si>
  <si>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</si>
  <si>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</si>
  <si>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</si>
  <si>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</si>
  <si>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</si>
  <si>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</si>
  <si>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</si>
  <si>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</si>
  <si>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</si>
  <si>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</si>
  <si>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</si>
  <si>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</si>
  <si>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</si>
  <si>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</si>
  <si>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</si>
  <si>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</si>
  <si>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</si>
  <si>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</si>
  <si>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</si>
  <si>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</si>
  <si>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</si>
  <si>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</si>
  <si>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</si>
  <si>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</si>
  <si>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</si>
  <si>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</si>
  <si>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</si>
  <si>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</si>
  <si>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</si>
  <si>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</si>
  <si>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</si>
  <si>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</si>
  <si>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</si>
  <si>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</si>
  <si>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</si>
  <si>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</si>
  <si>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</si>
  <si>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</si>
  <si>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</si>
  <si>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</si>
  <si>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</si>
  <si>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</si>
  <si>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</si>
  <si>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</si>
  <si>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</si>
  <si>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</si>
  <si>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</si>
  <si>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</si>
  <si>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</si>
  <si>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</si>
  <si>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</si>
  <si>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</si>
  <si>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</si>
  <si>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</si>
  <si>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</si>
  <si>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</si>
  <si>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</si>
  <si>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</si>
  <si>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</si>
  <si>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</si>
  <si>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</si>
  <si>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</si>
  <si>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</si>
  <si>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</si>
  <si>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</si>
  <si>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</si>
  <si>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</si>
  <si>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</si>
  <si>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</si>
  <si>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</si>
  <si>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</si>
  <si>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</si>
  <si>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</si>
  <si>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</si>
  <si>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</si>
  <si>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</si>
  <si>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</si>
  <si>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</si>
  <si>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</si>
  <si>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</si>
  <si>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</si>
  <si>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</si>
  <si>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</si>
  <si>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</si>
  <si>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</si>
  <si>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</si>
  <si>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</si>
  <si>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</si>
  <si>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</si>
  <si>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</si>
  <si>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</si>
  <si>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</si>
  <si>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</si>
  <si>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</si>
  <si>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</si>
  <si>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</si>
  <si>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</si>
  <si>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</si>
  <si>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</si>
  <si>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</si>
  <si>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</si>
  <si>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</si>
  <si>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</si>
  <si>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</si>
  <si>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</si>
  <si>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</si>
  <si>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</si>
  <si>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</si>
  <si>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</si>
  <si>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</si>
  <si>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</si>
  <si>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</si>
  <si>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</si>
  <si>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</si>
  <si>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</si>
  <si>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</si>
  <si>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</si>
  <si>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</si>
  <si>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</si>
  <si>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</si>
  <si>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</si>
  <si>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</si>
  <si>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</si>
  <si>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</si>
  <si>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</si>
  <si>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</si>
  <si>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</si>
  <si>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</si>
  <si>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</si>
  <si>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</si>
  <si>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</si>
  <si>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</si>
  <si>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</si>
  <si>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</si>
  <si>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</si>
  <si>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</si>
  <si>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</si>
  <si>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</si>
  <si>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</si>
  <si>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</si>
  <si>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</si>
  <si>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</si>
  <si>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</si>
  <si>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</si>
  <si>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</si>
  <si>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</si>
  <si>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</si>
  <si>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</si>
  <si>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</si>
  <si>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</si>
  <si>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</si>
  <si>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</si>
  <si>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</si>
  <si>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</si>
  <si>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</si>
  <si>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</si>
  <si>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</si>
  <si>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</si>
  <si>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</si>
  <si>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</si>
  <si>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</si>
  <si>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</si>
  <si>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</si>
  <si>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</si>
  <si>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</si>
  <si>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</si>
  <si>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</si>
  <si>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</si>
  <si>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</si>
  <si>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</si>
  <si>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</si>
  <si>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</si>
  <si>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</si>
  <si>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</si>
  <si>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</si>
  <si>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</si>
  <si>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</si>
  <si>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</si>
  <si>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</si>
  <si>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</si>
  <si>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</si>
  <si>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</si>
  <si>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</si>
  <si>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</si>
  <si>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</si>
  <si>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</si>
  <si>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</si>
  <si>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</si>
  <si>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</si>
  <si>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</si>
  <si>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</si>
  <si>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</si>
  <si>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</si>
  <si>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</si>
  <si>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</si>
  <si>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</si>
  <si>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</si>
  <si>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</si>
  <si>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</si>
  <si>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</si>
  <si>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</si>
  <si>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</si>
  <si>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</si>
  <si>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</si>
  <si>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</si>
  <si>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</si>
  <si>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</si>
  <si>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</si>
  <si>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</si>
  <si>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</si>
  <si>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</si>
  <si>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</si>
  <si>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</si>
  <si>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</si>
  <si>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</si>
  <si>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</si>
  <si>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</si>
  <si>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</si>
  <si>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</si>
  <si>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</si>
  <si>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</si>
  <si>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</si>
  <si>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</si>
  <si>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</si>
  <si>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</si>
  <si>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</si>
  <si>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</si>
  <si>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</si>
  <si>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</si>
  <si>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</si>
  <si>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</si>
  <si>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</si>
  <si>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</si>
  <si>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</si>
  <si>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</si>
  <si>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</si>
  <si>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</si>
  <si>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</si>
  <si>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</si>
  <si>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</si>
  <si>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</si>
  <si>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</si>
  <si>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</si>
  <si>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</si>
  <si>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</si>
  <si>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</si>
  <si>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</si>
  <si>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</si>
  <si>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</si>
  <si>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</si>
  <si>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</si>
  <si>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</si>
  <si>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</si>
  <si>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</si>
  <si>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</si>
  <si>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</si>
  <si>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</si>
  <si>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</si>
  <si>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</si>
  <si>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</si>
  <si>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</si>
  <si>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</si>
  <si>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</si>
  <si>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</si>
  <si>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</si>
  <si>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</si>
  <si>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</si>
  <si>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</si>
  <si>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</si>
  <si>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</si>
  <si>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</si>
  <si>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</si>
  <si>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</si>
  <si>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</si>
  <si>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</si>
  <si>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</si>
  <si>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</si>
  <si>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</si>
  <si>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</si>
  <si>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</si>
  <si>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</si>
  <si>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</si>
  <si>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</si>
  <si>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</si>
  <si>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</si>
  <si>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</si>
  <si>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</si>
  <si>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</si>
  <si>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</si>
  <si>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</si>
  <si>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</si>
  <si>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</si>
  <si>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</si>
  <si>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</si>
  <si>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</si>
  <si>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</si>
  <si>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</si>
  <si>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</si>
  <si>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</si>
  <si>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</si>
  <si>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</si>
  <si>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</si>
  <si>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</si>
  <si>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</si>
  <si>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</si>
  <si>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</si>
  <si>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</si>
  <si>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</si>
  <si>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</si>
  <si>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</si>
  <si>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</si>
  <si>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</si>
  <si>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</si>
  <si>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</si>
  <si>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</si>
  <si>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</si>
  <si>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</si>
  <si>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</si>
  <si>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</si>
  <si>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</si>
  <si>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</si>
  <si>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</si>
  <si>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</si>
  <si>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</si>
  <si>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</si>
  <si>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</si>
  <si>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</si>
  <si>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</si>
  <si>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</si>
  <si>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</si>
  <si>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</si>
  <si>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</si>
  <si>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</si>
  <si>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</si>
  <si>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</si>
  <si>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</si>
  <si>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</si>
  <si>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</si>
  <si>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</si>
  <si>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</si>
  <si>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</si>
  <si>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</si>
  <si>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</si>
  <si>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</si>
  <si>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</si>
  <si>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</si>
  <si>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</si>
  <si>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</si>
  <si>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</si>
  <si>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</si>
  <si>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</si>
  <si>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</si>
  <si>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</si>
  <si>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</si>
  <si>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</si>
  <si>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</si>
  <si>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</si>
  <si>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</si>
  <si>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</si>
  <si>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</si>
  <si>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</si>
  <si>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</si>
  <si>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</si>
  <si>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</si>
  <si>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</si>
  <si>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</si>
  <si>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</si>
  <si>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</si>
  <si>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</si>
  <si>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</si>
  <si>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</si>
  <si>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</si>
  <si>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</si>
  <si>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</si>
  <si>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</si>
  <si>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</si>
  <si>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</si>
  <si>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</si>
  <si>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</si>
  <si>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</si>
  <si>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</si>
  <si>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</si>
  <si>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</si>
  <si>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</si>
  <si>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</si>
  <si>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</si>
  <si>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</si>
  <si>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</si>
  <si>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</si>
  <si>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</si>
  <si>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</si>
  <si>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</si>
  <si>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</si>
  <si>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</si>
  <si>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</si>
  <si>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</si>
  <si>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</si>
  <si>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</si>
  <si>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</si>
  <si>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</si>
  <si>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</si>
  <si>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</si>
  <si>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</si>
  <si>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</si>
  <si>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</si>
  <si>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</si>
  <si>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</si>
  <si>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</si>
  <si>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</si>
  <si>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</si>
  <si>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</si>
  <si>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</si>
  <si>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</si>
  <si>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</si>
  <si>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</si>
  <si>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</si>
  <si>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</si>
  <si>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</si>
  <si>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</si>
  <si>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</si>
  <si>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</si>
  <si>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</si>
  <si>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</si>
  <si>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</si>
  <si>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</si>
  <si>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</si>
  <si>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</si>
  <si>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</si>
  <si>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</si>
  <si>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</si>
  <si>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</si>
  <si>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</si>
  <si>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</si>
  <si>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</si>
  <si>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</si>
  <si>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</si>
  <si>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</si>
  <si>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</si>
  <si>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</si>
  <si>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</si>
  <si>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</si>
  <si>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</si>
  <si>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</si>
  <si>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</si>
  <si>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</si>
  <si>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</si>
  <si>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</si>
  <si>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</si>
  <si>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</si>
  <si>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</si>
  <si>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</si>
  <si>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</si>
  <si>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</si>
  <si>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</si>
  <si>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</si>
  <si>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</si>
  <si>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</si>
  <si>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</si>
  <si>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</si>
  <si>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</si>
  <si>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</si>
  <si>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</si>
  <si>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</si>
  <si>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</si>
  <si>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</si>
  <si>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</si>
  <si>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</si>
  <si>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</si>
  <si>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</si>
  <si>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</si>
  <si>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</si>
  <si>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</si>
  <si>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</si>
  <si>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</si>
  <si>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</si>
  <si>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</si>
  <si>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</si>
  <si>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</si>
  <si>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</si>
  <si>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</si>
  <si>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</si>
  <si>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</si>
  <si>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</si>
  <si>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</si>
  <si>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</si>
  <si>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</si>
  <si>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</si>
  <si>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</si>
  <si>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</si>
  <si>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</si>
  <si>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</si>
  <si>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</si>
  <si>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</si>
  <si>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</si>
  <si>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</si>
  <si>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</si>
  <si>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</si>
  <si>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</si>
  <si>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</si>
  <si>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</si>
  <si>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</si>
  <si>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</si>
  <si>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</si>
  <si>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</si>
  <si>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</si>
  <si>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</si>
  <si>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</si>
  <si>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</si>
  <si>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</si>
  <si>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</si>
  <si>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</si>
  <si>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</si>
  <si>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</si>
  <si>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</si>
  <si>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</si>
  <si>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</si>
  <si>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</si>
  <si>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</si>
  <si>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</si>
  <si>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</si>
  <si>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</si>
  <si>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</si>
  <si>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</si>
  <si>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</si>
  <si>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</si>
  <si>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</si>
  <si>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</si>
  <si>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</si>
  <si>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</si>
  <si>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</si>
  <si>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</si>
  <si>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</si>
  <si>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</si>
  <si>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</si>
  <si>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</si>
  <si>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</si>
  <si>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</si>
  <si>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</si>
  <si>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</si>
  <si>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</si>
  <si>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</si>
  <si>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</si>
  <si>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</si>
  <si>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</si>
  <si>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</si>
  <si>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</si>
  <si>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</si>
  <si>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</si>
  <si>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</si>
  <si>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</si>
  <si>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</si>
  <si>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</si>
  <si>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</si>
  <si>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</si>
  <si>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</si>
  <si>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</si>
  <si>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</si>
  <si>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</si>
  <si>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</si>
  <si>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</si>
  <si>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</si>
  <si>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</si>
  <si>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</si>
  <si>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</si>
  <si>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</si>
  <si>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</si>
  <si>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</si>
  <si>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</si>
  <si>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</si>
  <si>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</si>
  <si>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</si>
  <si>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</si>
  <si>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</si>
  <si>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</si>
  <si>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</si>
  <si>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</si>
  <si>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</si>
  <si>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</si>
  <si>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</si>
  <si>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</si>
  <si>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</si>
  <si>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</si>
  <si>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</si>
  <si>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</si>
  <si>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</si>
  <si>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</si>
  <si>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</si>
  <si>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</si>
  <si>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</si>
  <si>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</si>
  <si>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</si>
  <si>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</si>
  <si>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</si>
  <si>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</si>
  <si>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</si>
  <si>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</si>
  <si>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</si>
  <si>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</si>
  <si>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</si>
  <si>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</si>
  <si>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</si>
  <si>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</si>
  <si>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</si>
  <si>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</si>
  <si>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</si>
  <si>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</si>
  <si>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</si>
  <si>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</si>
  <si>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</si>
  <si>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</si>
  <si>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</si>
  <si>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</si>
  <si>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</si>
  <si>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</si>
  <si>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</si>
  <si>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</si>
  <si>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</si>
  <si>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</si>
  <si>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</si>
  <si>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</si>
  <si>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</si>
  <si>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</si>
  <si>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</si>
  <si>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</si>
  <si>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7756790001248</t>
  </si>
  <si>
    <t>LENTEJITA BB MENESTRERO 400G</t>
  </si>
  <si>
    <t>C:\PRUEBAS_TXT</t>
  </si>
  <si>
    <t>C:\PRUEBAS_EXCEL</t>
  </si>
  <si>
    <t>Solana Comercial S.A.C</t>
  </si>
  <si>
    <t>AV SANTO TORIBIO N.143 INTERIOR 301 URB EL ROSARIO, SAN ISIDRO, LIMA</t>
  </si>
  <si>
    <t>TOTAL VALOR DE VENTA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</si>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</sst>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85" zoomScaleNormal="85" workbookViewId="0">
      <pane ySplit="14" topLeftCell="A15" activePane="bottomLeft" state="frozen"/>
      <selection pane="bottomLeft" activeCell="G10" sqref="G10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38.140625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0.17</v>
      </c>
    </row>
    <row r="3" spans="1:17" x14ac:dyDescent="0.25">
      <c r="A3" s="58" t="s">
        <v>106</v>
      </c>
      <c r="B3" s="74">
        <v>44995</v>
      </c>
      <c r="C3" s="206" t="s">
        <v>53</v>
      </c>
      <c r="D3" s="42" t="s">
        <v>256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1522</v>
      </c>
      <c r="Q3" s="77" t="s">
        <v>1530</v>
      </c>
    </row>
    <row r="4" spans="1:17" x14ac:dyDescent="0.25">
      <c r="E4" s="56" t="s">
        <v>61</v>
      </c>
      <c r="F4" s="42">
        <v>3.2</v>
      </c>
      <c r="L4" s="58">
        <v>1</v>
      </c>
      <c r="M4" s="39" t="s">
        <v>1532</v>
      </c>
      <c r="N4" s="39" t="s">
        <v>102</v>
      </c>
      <c r="P4" s="58" t="s">
        <v>1523</v>
      </c>
      <c r="Q4" s="39" t="s">
        <v>1540</v>
      </c>
    </row>
    <row r="5" spans="1:17" x14ac:dyDescent="0.25">
      <c r="H5" s="204"/>
      <c r="I5" s="203"/>
      <c r="L5" s="58">
        <v>3</v>
      </c>
      <c r="M5" s="39" t="s">
        <v>1533</v>
      </c>
      <c r="N5" s="39" t="s">
        <v>102</v>
      </c>
      <c r="P5" s="58" t="s">
        <v>1524</v>
      </c>
      <c r="Q5" s="39" t="s">
        <v>1541</v>
      </c>
    </row>
    <row r="6" spans="1:17" x14ac:dyDescent="0.25">
      <c r="A6" s="50" t="s">
        <v>1526</v>
      </c>
      <c r="B6" s="45" t="s">
        <v>185</v>
      </c>
      <c r="C6" s="226" t="s">
        <v>1527</v>
      </c>
      <c r="D6" s="227"/>
      <c r="E6" s="229" t="s">
        <v>1528</v>
      </c>
      <c r="F6" s="230"/>
      <c r="G6" s="231"/>
      <c r="J6" s="17"/>
      <c r="L6" s="58">
        <v>7</v>
      </c>
      <c r="M6" s="39" t="s">
        <v>1534</v>
      </c>
      <c r="N6" s="39" t="s">
        <v>102</v>
      </c>
    </row>
    <row r="7" spans="1:17" x14ac:dyDescent="0.25">
      <c r="A7" s="40" t="s">
        <v>102</v>
      </c>
      <c r="B7" s="40">
        <v>99999999</v>
      </c>
      <c r="C7" s="228" t="s">
        <v>1531</v>
      </c>
      <c r="D7" s="228"/>
      <c r="E7" s="219" t="s">
        <v>1531</v>
      </c>
      <c r="F7" s="220"/>
      <c r="G7" s="221"/>
      <c r="J7" s="17"/>
      <c r="L7" s="58">
        <v>7</v>
      </c>
      <c r="M7" s="39" t="s">
        <v>1535</v>
      </c>
      <c r="N7" s="39" t="s">
        <v>102</v>
      </c>
    </row>
    <row r="8" spans="1:17" x14ac:dyDescent="0.25">
      <c r="F8" s="9"/>
      <c r="J8" s="17"/>
      <c r="L8" s="58">
        <v>8</v>
      </c>
      <c r="M8" s="39"/>
      <c r="N8" s="39"/>
    </row>
    <row r="9" spans="1:17" x14ac:dyDescent="0.25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H9" s="55" t="s">
        <v>1544</v>
      </c>
      <c r="I9" s="206">
        <f>SUM(J15:J114)</f>
        <v>3.2</v>
      </c>
      <c r="J9" s="17"/>
      <c r="L9" s="58">
        <v>8</v>
      </c>
      <c r="M9" s="39"/>
      <c r="N9" s="39"/>
    </row>
    <row r="10" spans="1:17" x14ac:dyDescent="0.25">
      <c r="A10" s="224" t="s">
        <v>460</v>
      </c>
      <c r="B10" s="225"/>
      <c r="C10" s="51" t="s">
        <v>1525</v>
      </c>
      <c r="D10" s="51" t="s">
        <v>1533</v>
      </c>
      <c r="E10" s="51" t="s">
        <v>103</v>
      </c>
      <c r="F10" s="55" t="s">
        <v>196</v>
      </c>
      <c r="G10" s="206"/>
      <c r="H10" s="55" t="s">
        <v>1545</v>
      </c>
      <c r="I10" s="206">
        <f>SUM(J15:J114)-SUM(I15:I114)</f>
        <v>3.1700000000000004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25">
      <c r="A15" s="213">
        <v>1</v>
      </c>
      <c r="B15" s="39">
        <v>1</v>
      </c>
      <c r="C15" s="39" t="s">
        <v>1536</v>
      </c>
      <c r="D15" s="39" t="s">
        <v>1537</v>
      </c>
      <c r="E15" s="40"/>
      <c r="F15" s="41">
        <v>0.2</v>
      </c>
      <c r="G15" s="42">
        <v>0.17</v>
      </c>
      <c r="H15" s="206">
        <v>10</v>
      </c>
      <c r="I15" s="39">
        <v>0.03</v>
      </c>
      <c r="J15" s="39">
        <v>0.2</v>
      </c>
    </row>
    <row r="16" spans="1:17" x14ac:dyDescent="0.25">
      <c r="A16" s="213">
        <v>2</v>
      </c>
      <c r="B16" s="39">
        <v>1</v>
      </c>
      <c r="C16" s="39" t="s">
        <v>1538</v>
      </c>
      <c r="D16" s="39" t="s">
        <v>1539</v>
      </c>
      <c r="E16" s="40"/>
      <c r="F16" s="41">
        <v>3</v>
      </c>
      <c r="G16" s="42">
        <v>3</v>
      </c>
      <c r="H16" s="42">
        <v>20</v>
      </c>
      <c r="I16" s="39">
        <v>0</v>
      </c>
      <c r="J16" s="39">
        <v>3</v>
      </c>
    </row>
    <row r="17" spans="1:10" x14ac:dyDescent="0.25">
      <c r="A17" s="213">
        <v>3</v>
      </c>
      <c r="B17" s="39"/>
      <c r="C17" s="39"/>
      <c r="D17" s="39"/>
      <c r="E17" s="40"/>
      <c r="F17" s="41"/>
      <c r="G17" s="42"/>
      <c r="H17" s="42"/>
      <c r="I17" s="39"/>
      <c r="J17" s="39"/>
    </row>
    <row r="18" spans="1:10" x14ac:dyDescent="0.25">
      <c r="A18" s="213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3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3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3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3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3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3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3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3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3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3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3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3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3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08"/>
  <sheetViews>
    <sheetView tabSelected="1" zoomScale="130" zoomScaleNormal="130" workbookViewId="0">
      <pane xSplit="5" ySplit="4" topLeftCell="V5" activePane="bottomRight" state="frozen"/>
      <selection pane="topRight" activeCell="F1" sqref="F1"/>
      <selection pane="bottomLeft" activeCell="A5" sqref="A5"/>
      <selection pane="bottomRight" activeCell="E2" sqref="E2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259</v>
      </c>
      <c r="B4" s="84" t="s">
        <v>1505</v>
      </c>
      <c r="C4" s="84" t="s">
        <v>0</v>
      </c>
      <c r="D4" s="84" t="s">
        <v>100</v>
      </c>
      <c r="E4" s="80" t="s">
        <v>1506</v>
      </c>
      <c r="F4" s="79" t="s">
        <v>1507</v>
      </c>
      <c r="G4" s="80" t="s">
        <v>1508</v>
      </c>
      <c r="H4" s="80" t="s">
        <v>1509</v>
      </c>
      <c r="I4" s="81" t="s">
        <v>1529</v>
      </c>
      <c r="J4" s="82" t="s">
        <v>1510</v>
      </c>
      <c r="K4" s="83" t="s">
        <v>1511</v>
      </c>
      <c r="L4" s="83" t="s">
        <v>1512</v>
      </c>
      <c r="M4" s="83" t="s">
        <v>1513</v>
      </c>
      <c r="N4" s="83" t="s">
        <v>1514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1515</v>
      </c>
      <c r="X4" s="218" t="s">
        <v>305</v>
      </c>
      <c r="Y4" s="49" t="s">
        <v>1516</v>
      </c>
      <c r="Z4" s="49" t="s">
        <v>109</v>
      </c>
      <c r="AA4" s="49" t="s">
        <v>1517</v>
      </c>
      <c r="AB4" s="49" t="s">
        <v>1518</v>
      </c>
      <c r="AC4" s="49" t="s">
        <v>1519</v>
      </c>
      <c r="AD4" s="49" t="s">
        <v>1513</v>
      </c>
      <c r="AE4" s="49" t="s">
        <v>1520</v>
      </c>
    </row>
    <row r="5" spans="1:31" s="29" customFormat="1" ht="18.75" customHeight="1" x14ac:dyDescent="0.25">
      <c r="A5" s="29">
        <v>1</v>
      </c>
      <c r="B5" s="28" t="s">
        <v>1525</v>
      </c>
      <c r="C5" s="28" t="s">
        <v>1533</v>
      </c>
      <c r="D5" s="28" t="s">
        <v>102</v>
      </c>
      <c r="E5" s="73">
        <v>44995</v>
      </c>
      <c r="F5" s="28" t="s">
        <v>102</v>
      </c>
      <c r="G5" s="78">
        <v>99999999</v>
      </c>
      <c r="H5" s="76" t="s">
        <v>1531</v>
      </c>
      <c r="I5" s="76" t="s">
        <v>1531</v>
      </c>
      <c r="J5" s="66" t="s">
        <v>53</v>
      </c>
      <c r="K5" s="30" t="s">
        <v>256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1536</v>
      </c>
      <c r="Y5" t="s">
        <v>1537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1" s="29" customFormat="1" ht="18.600000000000001" customHeight="1" x14ac:dyDescent="0.25">
      <c r="A6" s="29">
        <v>2</v>
      </c>
      <c r="B6" s="28" t="s">
        <v>106</v>
      </c>
      <c r="C6" s="28" t="s">
        <v>1535</v>
      </c>
      <c r="D6" s="28" t="s">
        <v>102</v>
      </c>
      <c r="E6" s="73">
        <v>44995</v>
      </c>
      <c r="F6" s="28" t="s">
        <v>102</v>
      </c>
      <c r="G6" s="78">
        <v>99999999</v>
      </c>
      <c r="H6" s="76" t="s">
        <v>1531</v>
      </c>
      <c r="I6" s="76" t="s">
        <v>1531</v>
      </c>
      <c r="J6" s="66" t="s">
        <v>53</v>
      </c>
      <c r="K6" s="30" t="s">
        <v>256</v>
      </c>
      <c r="L6" s="31">
        <v>0.17</v>
      </c>
      <c r="M6" s="31">
        <v>0.03</v>
      </c>
      <c r="N6" s="31">
        <v>0.2</v>
      </c>
      <c r="O6" s="216" t="s">
        <v>460</v>
      </c>
      <c r="P6" s="28" t="s">
        <v>1525</v>
      </c>
      <c r="Q6" s="28" t="s">
        <v>1533</v>
      </c>
      <c r="R6" s="28" t="s">
        <v>102</v>
      </c>
      <c r="S6"/>
      <c r="T6"/>
      <c r="U6"/>
      <c r="V6"/>
      <c r="W6">
        <v>1</v>
      </c>
      <c r="X6" s="208" t="s">
        <v>1536</v>
      </c>
      <c r="Y6" t="s">
        <v>1537</v>
      </c>
      <c r="AA6">
        <v>0.2</v>
      </c>
      <c r="AB6">
        <v>0.17</v>
      </c>
      <c r="AC6" s="29">
        <v>10</v>
      </c>
      <c r="AD6" s="29">
        <v>0.03</v>
      </c>
      <c r="AE6">
        <v>0.2</v>
      </c>
    </row>
    <row r="7" spans="1:31" s="29" customFormat="1" ht="18.600000000000001" customHeight="1" x14ac:dyDescent="0.25">
      <c r="A7" s="29">
        <v>3</v>
      </c>
      <c r="B7" s="28" t="s">
        <v>1525</v>
      </c>
      <c r="C7" s="28" t="s">
        <v>1533</v>
      </c>
      <c r="D7" s="28" t="s">
        <v>103</v>
      </c>
      <c r="E7" s="73">
        <v>44995</v>
      </c>
      <c r="F7" s="28" t="s">
        <v>102</v>
      </c>
      <c r="G7" s="78">
        <v>99999999</v>
      </c>
      <c r="H7" s="76" t="s">
        <v>1531</v>
      </c>
      <c r="I7" s="76" t="s">
        <v>1531</v>
      </c>
      <c r="J7" s="66" t="s">
        <v>53</v>
      </c>
      <c r="K7" s="30" t="s">
        <v>256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1536</v>
      </c>
      <c r="Y7" t="s">
        <v>1537</v>
      </c>
      <c r="AA7">
        <v>0.2</v>
      </c>
      <c r="AB7">
        <v>0.17</v>
      </c>
      <c r="AC7" s="29">
        <v>10</v>
      </c>
      <c r="AD7" s="29">
        <v>0.03</v>
      </c>
      <c r="AE7">
        <v>0.2</v>
      </c>
    </row>
    <row r="8" spans="1:31" s="29" customFormat="1" ht="18.75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1538</v>
      </c>
      <c r="Y8" t="s">
        <v>1539</v>
      </c>
      <c r="AA8">
        <v>3</v>
      </c>
      <c r="AB8">
        <v>3</v>
      </c>
      <c r="AC8" s="29">
        <v>20</v>
      </c>
      <c r="AD8" s="29">
        <v>0</v>
      </c>
      <c r="AE8">
        <v>3</v>
      </c>
    </row>
    <row r="9" spans="1:31" s="29" customFormat="1" ht="18.75" customHeight="1" x14ac:dyDescent="0.25">
      <c r="A9" s="29">
        <v>4</v>
      </c>
      <c r="B9" s="28" t="s">
        <v>106</v>
      </c>
      <c r="C9" s="28" t="s">
        <v>1535</v>
      </c>
      <c r="D9" s="28" t="s">
        <v>103</v>
      </c>
      <c r="E9" s="73">
        <v>44995</v>
      </c>
      <c r="F9" s="28" t="s">
        <v>102</v>
      </c>
      <c r="G9" s="78">
        <v>99999999</v>
      </c>
      <c r="H9" s="76" t="s">
        <v>1531</v>
      </c>
      <c r="I9" s="76" t="s">
        <v>1531</v>
      </c>
      <c r="J9" s="66" t="s">
        <v>53</v>
      </c>
      <c r="K9" s="30" t="s">
        <v>256</v>
      </c>
      <c r="L9" s="31">
        <v>0.17</v>
      </c>
      <c r="M9" s="31">
        <v>0.03</v>
      </c>
      <c r="N9" s="31">
        <v>3.2</v>
      </c>
      <c r="O9" s="216" t="s">
        <v>460</v>
      </c>
      <c r="P9" s="28" t="s">
        <v>1525</v>
      </c>
      <c r="Q9" s="28" t="s">
        <v>1533</v>
      </c>
      <c r="R9" s="28" t="s">
        <v>103</v>
      </c>
      <c r="S9"/>
      <c r="T9"/>
      <c r="U9"/>
      <c r="V9"/>
      <c r="W9">
        <v>1</v>
      </c>
      <c r="X9" s="208" t="s">
        <v>1536</v>
      </c>
      <c r="Y9" t="s">
        <v>1537</v>
      </c>
      <c r="AA9">
        <v>0.2</v>
      </c>
      <c r="AB9">
        <v>0.17</v>
      </c>
      <c r="AC9" s="29">
        <v>10</v>
      </c>
      <c r="AD9" s="29">
        <v>0.03</v>
      </c>
      <c r="AE9">
        <v>0.2</v>
      </c>
    </row>
    <row r="10" spans="1:31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1538</v>
      </c>
      <c r="Y10" t="s">
        <v>1539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1" s="29" customFormat="1" ht="18.75" customHeight="1" x14ac:dyDescent="0.25">
      <c r="B11" s="28"/>
      <c r="C11" s="28"/>
      <c r="D11" s="28"/>
      <c r="O11" s="216"/>
      <c r="P11" s="28"/>
      <c r="Q11" s="28"/>
      <c r="R11" s="28"/>
      <c r="S11"/>
      <c r="T11"/>
      <c r="U11"/>
      <c r="V11"/>
      <c r="W11"/>
      <c r="X11" s="208"/>
      <c r="Y11"/>
      <c r="AA11"/>
      <c r="AB11"/>
      <c r="AE11"/>
    </row>
    <row r="12" spans="1:31" s="29" customFormat="1" ht="18.75" customHeight="1" x14ac:dyDescent="0.25">
      <c r="B12" s="28"/>
      <c r="C12" s="28"/>
      <c r="D12" s="28"/>
      <c r="O12" s="216"/>
      <c r="P12" s="28"/>
      <c r="Q12" s="28"/>
      <c r="R12" s="28"/>
      <c r="S12"/>
      <c r="T12"/>
      <c r="U12"/>
      <c r="V12"/>
      <c r="W12"/>
      <c r="X12" s="208"/>
      <c r="Y12"/>
      <c r="AA12"/>
      <c r="AB12"/>
      <c r="AE12"/>
    </row>
    <row r="13" spans="1:31" s="29" customFormat="1" ht="18.600000000000001" customHeight="1" x14ac:dyDescent="0.25">
      <c r="B13" s="28"/>
      <c r="C13" s="28"/>
      <c r="D13" s="28"/>
      <c r="E13" s="73"/>
      <c r="F13" s="28"/>
      <c r="G13" s="78"/>
      <c r="H13" s="76"/>
      <c r="I13" s="76"/>
      <c r="J13" s="66"/>
      <c r="K13" s="30"/>
      <c r="L13" s="31"/>
      <c r="M13" s="31"/>
      <c r="N13" s="31"/>
      <c r="O13" s="216"/>
      <c r="P13" s="28"/>
      <c r="Q13" s="28"/>
      <c r="R13" s="28"/>
      <c r="S13"/>
      <c r="T13"/>
      <c r="U13"/>
      <c r="V13"/>
      <c r="W13"/>
      <c r="X13" s="208"/>
      <c r="Y13"/>
      <c r="AA13"/>
      <c r="AB13"/>
      <c r="AE13"/>
    </row>
    <row r="14" spans="1:31" s="29" customFormat="1" ht="18.75" customHeight="1" x14ac:dyDescent="0.25">
      <c r="B14" s="28"/>
      <c r="C14" s="28"/>
      <c r="D14" s="28"/>
      <c r="O14" s="216"/>
      <c r="P14" s="28"/>
      <c r="Q14" s="28"/>
      <c r="R14" s="28"/>
      <c r="S14"/>
      <c r="T14"/>
      <c r="U14"/>
      <c r="V14"/>
      <c r="W14"/>
      <c r="X14" s="208"/>
      <c r="Y14"/>
      <c r="AA14"/>
      <c r="AB14"/>
      <c r="AE14"/>
    </row>
    <row r="15" spans="1:31" s="29" customFormat="1" ht="18.75" customHeight="1" x14ac:dyDescent="0.25">
      <c r="B15" s="28"/>
      <c r="C15" s="28"/>
      <c r="D15" s="28"/>
      <c r="O15" s="216"/>
      <c r="P15" s="75"/>
      <c r="Q15" s="28"/>
      <c r="R15" s="28"/>
      <c r="S15"/>
      <c r="T15"/>
      <c r="U15"/>
      <c r="V15"/>
      <c r="W15"/>
      <c r="X15" s="208"/>
      <c r="Y15"/>
      <c r="AA15"/>
      <c r="AB15"/>
      <c r="AE15"/>
    </row>
    <row r="16" spans="1:31" ht="18.7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  <c r="L16" s="7"/>
      <c r="M16" s="7"/>
      <c r="AC16" s="29"/>
      <c r="AD16" s="29"/>
    </row>
    <row r="17" spans="2:30" ht="18.7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  <c r="L17" s="7"/>
      <c r="M17" s="7"/>
      <c r="AC17" s="29"/>
      <c r="AD17" s="29"/>
    </row>
    <row r="18" spans="2:30" ht="18.7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0" ht="18.7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0" ht="18.7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0" ht="18.7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0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0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0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0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0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0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0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0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0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0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0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AC41" s="29"/>
      <c r="AD41" s="29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AC42" s="29"/>
      <c r="AD42" s="29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AC43" s="29"/>
      <c r="AD43" s="29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AC44" s="29"/>
      <c r="AD44" s="29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AC45" s="29"/>
      <c r="AD45" s="29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27" sqref="B27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260</v>
      </c>
      <c r="C1" s="93" t="s">
        <v>56</v>
      </c>
      <c r="D1" s="93" t="s">
        <v>261</v>
      </c>
      <c r="E1" s="93" t="s">
        <v>332</v>
      </c>
      <c r="F1" s="94" t="s">
        <v>262</v>
      </c>
    </row>
    <row r="2" spans="1:6" ht="19.5" customHeight="1" x14ac:dyDescent="0.25">
      <c r="A2" s="86" t="s">
        <v>259</v>
      </c>
      <c r="B2" s="87" t="s">
        <v>272</v>
      </c>
      <c r="C2" s="87" t="s">
        <v>315</v>
      </c>
      <c r="D2" s="85" t="s">
        <v>273</v>
      </c>
      <c r="E2" s="85" t="s">
        <v>274</v>
      </c>
      <c r="F2" s="92" t="s">
        <v>275</v>
      </c>
    </row>
    <row r="3" spans="1:6" x14ac:dyDescent="0.25">
      <c r="A3" s="86" t="s">
        <v>258</v>
      </c>
      <c r="B3" s="87" t="s">
        <v>263</v>
      </c>
      <c r="C3" s="87" t="s">
        <v>315</v>
      </c>
      <c r="D3" s="85" t="s">
        <v>268</v>
      </c>
      <c r="E3" s="85" t="s">
        <v>269</v>
      </c>
      <c r="F3" s="87"/>
    </row>
    <row r="4" spans="1:6" x14ac:dyDescent="0.25">
      <c r="A4" s="86" t="s">
        <v>0</v>
      </c>
      <c r="B4" s="87" t="s">
        <v>9</v>
      </c>
      <c r="C4" s="87" t="s">
        <v>315</v>
      </c>
      <c r="D4" s="85" t="s">
        <v>270</v>
      </c>
      <c r="E4" s="85" t="s">
        <v>269</v>
      </c>
      <c r="F4" s="87" t="s">
        <v>271</v>
      </c>
    </row>
    <row r="5" spans="1:6" x14ac:dyDescent="0.25">
      <c r="A5" s="86" t="s">
        <v>100</v>
      </c>
      <c r="B5" s="87" t="s">
        <v>10</v>
      </c>
      <c r="C5" s="87" t="s">
        <v>315</v>
      </c>
      <c r="D5" s="85" t="s">
        <v>276</v>
      </c>
      <c r="E5" s="85" t="s">
        <v>269</v>
      </c>
      <c r="F5" s="87" t="s">
        <v>271</v>
      </c>
    </row>
    <row r="6" spans="1:6" x14ac:dyDescent="0.25">
      <c r="A6" s="86" t="s">
        <v>184</v>
      </c>
      <c r="B6" s="87" t="s">
        <v>265</v>
      </c>
      <c r="C6" s="87" t="s">
        <v>315</v>
      </c>
      <c r="D6" s="85" t="s">
        <v>277</v>
      </c>
      <c r="E6" s="85" t="s">
        <v>269</v>
      </c>
      <c r="F6" s="87"/>
    </row>
    <row r="7" spans="1:6" x14ac:dyDescent="0.25">
      <c r="A7" s="86" t="s">
        <v>96</v>
      </c>
      <c r="B7" s="87" t="s">
        <v>266</v>
      </c>
      <c r="C7" s="87" t="s">
        <v>315</v>
      </c>
      <c r="D7" s="85" t="s">
        <v>280</v>
      </c>
      <c r="E7" s="85" t="s">
        <v>269</v>
      </c>
      <c r="F7" s="87" t="s">
        <v>279</v>
      </c>
    </row>
    <row r="8" spans="1:6" x14ac:dyDescent="0.25">
      <c r="A8" s="86" t="s">
        <v>185</v>
      </c>
      <c r="B8" s="87" t="s">
        <v>282</v>
      </c>
      <c r="C8" s="87" t="s">
        <v>315</v>
      </c>
      <c r="D8" s="85" t="s">
        <v>281</v>
      </c>
      <c r="E8" s="85" t="s">
        <v>269</v>
      </c>
      <c r="F8" s="87"/>
    </row>
    <row r="9" spans="1:6" ht="30" x14ac:dyDescent="0.25">
      <c r="A9" s="86" t="s">
        <v>186</v>
      </c>
      <c r="B9" s="87" t="s">
        <v>284</v>
      </c>
      <c r="C9" s="87" t="s">
        <v>315</v>
      </c>
      <c r="D9" s="85" t="s">
        <v>285</v>
      </c>
      <c r="E9" s="85" t="s">
        <v>286</v>
      </c>
      <c r="F9" s="87"/>
    </row>
    <row r="10" spans="1:6" x14ac:dyDescent="0.25">
      <c r="A10" s="86" t="s">
        <v>187</v>
      </c>
      <c r="B10" s="87" t="s">
        <v>283</v>
      </c>
      <c r="C10" s="87" t="s">
        <v>315</v>
      </c>
      <c r="D10" s="85" t="s">
        <v>287</v>
      </c>
      <c r="E10" s="85" t="s">
        <v>274</v>
      </c>
      <c r="F10" s="87"/>
    </row>
    <row r="11" spans="1:6" x14ac:dyDescent="0.25">
      <c r="A11" s="86" t="s">
        <v>117</v>
      </c>
      <c r="B11" s="87" t="s">
        <v>289</v>
      </c>
      <c r="C11" s="87" t="s">
        <v>315</v>
      </c>
      <c r="D11" s="85" t="s">
        <v>290</v>
      </c>
      <c r="E11" s="85" t="s">
        <v>286</v>
      </c>
      <c r="F11" s="87" t="s">
        <v>288</v>
      </c>
    </row>
    <row r="12" spans="1:6" ht="30" x14ac:dyDescent="0.25">
      <c r="A12" s="86" t="s">
        <v>194</v>
      </c>
      <c r="B12" s="87" t="s">
        <v>264</v>
      </c>
      <c r="C12" s="87" t="s">
        <v>315</v>
      </c>
      <c r="D12" s="85" t="s">
        <v>278</v>
      </c>
      <c r="E12" s="85" t="s">
        <v>269</v>
      </c>
      <c r="F12" s="87" t="s">
        <v>267</v>
      </c>
    </row>
    <row r="13" spans="1:6" ht="45" x14ac:dyDescent="0.25">
      <c r="A13" s="86" t="s">
        <v>188</v>
      </c>
      <c r="B13" s="87" t="s">
        <v>291</v>
      </c>
      <c r="C13" s="87" t="s">
        <v>315</v>
      </c>
      <c r="D13" s="85" t="s">
        <v>292</v>
      </c>
      <c r="E13" s="85" t="s">
        <v>274</v>
      </c>
      <c r="F13" s="87" t="s">
        <v>293</v>
      </c>
    </row>
    <row r="14" spans="1:6" ht="45" x14ac:dyDescent="0.25">
      <c r="A14" s="86" t="s">
        <v>189</v>
      </c>
      <c r="B14" s="87" t="s">
        <v>294</v>
      </c>
      <c r="C14" s="87" t="s">
        <v>315</v>
      </c>
      <c r="D14" s="85" t="s">
        <v>292</v>
      </c>
      <c r="E14" s="85" t="s">
        <v>269</v>
      </c>
      <c r="F14" s="87"/>
    </row>
    <row r="15" spans="1:6" x14ac:dyDescent="0.25">
      <c r="A15" s="86" t="s">
        <v>1</v>
      </c>
      <c r="B15" s="87" t="s">
        <v>295</v>
      </c>
      <c r="C15" s="87" t="s">
        <v>315</v>
      </c>
      <c r="D15" s="85" t="s">
        <v>292</v>
      </c>
      <c r="E15" s="85" t="s">
        <v>269</v>
      </c>
      <c r="F15" s="87"/>
    </row>
    <row r="16" spans="1:6" x14ac:dyDescent="0.25">
      <c r="A16" s="86" t="s">
        <v>61</v>
      </c>
      <c r="B16" s="87" t="s">
        <v>296</v>
      </c>
      <c r="C16" s="87" t="s">
        <v>315</v>
      </c>
      <c r="D16" s="85" t="s">
        <v>292</v>
      </c>
      <c r="E16" s="85" t="s">
        <v>269</v>
      </c>
      <c r="F16" s="87"/>
    </row>
    <row r="17" spans="1:6" x14ac:dyDescent="0.25">
      <c r="A17" s="86" t="s">
        <v>193</v>
      </c>
      <c r="B17" s="87" t="s">
        <v>298</v>
      </c>
      <c r="C17" s="87" t="s">
        <v>315</v>
      </c>
      <c r="D17" s="85" t="s">
        <v>287</v>
      </c>
      <c r="E17" s="85" t="s">
        <v>274</v>
      </c>
      <c r="F17" s="87" t="s">
        <v>317</v>
      </c>
    </row>
    <row r="18" spans="1:6" x14ac:dyDescent="0.25">
      <c r="A18" s="86" t="s">
        <v>190</v>
      </c>
      <c r="B18" s="87" t="s">
        <v>299</v>
      </c>
      <c r="C18" s="87" t="s">
        <v>315</v>
      </c>
      <c r="D18" s="85" t="s">
        <v>318</v>
      </c>
      <c r="E18" s="85" t="s">
        <v>274</v>
      </c>
      <c r="F18" s="87" t="s">
        <v>319</v>
      </c>
    </row>
    <row r="19" spans="1:6" x14ac:dyDescent="0.25">
      <c r="A19" s="86" t="s">
        <v>191</v>
      </c>
      <c r="B19" s="87" t="s">
        <v>300</v>
      </c>
      <c r="C19" s="87" t="s">
        <v>315</v>
      </c>
      <c r="D19" s="85" t="s">
        <v>320</v>
      </c>
      <c r="E19" s="85" t="s">
        <v>274</v>
      </c>
      <c r="F19" s="87" t="s">
        <v>317</v>
      </c>
    </row>
    <row r="20" spans="1:6" x14ac:dyDescent="0.25">
      <c r="A20" s="86" t="s">
        <v>192</v>
      </c>
      <c r="B20" s="87" t="s">
        <v>301</v>
      </c>
      <c r="C20" s="87" t="s">
        <v>315</v>
      </c>
      <c r="D20" s="85" t="s">
        <v>297</v>
      </c>
      <c r="E20" s="85" t="s">
        <v>274</v>
      </c>
      <c r="F20" s="87" t="s">
        <v>317</v>
      </c>
    </row>
    <row r="21" spans="1:6" x14ac:dyDescent="0.25">
      <c r="A21" s="86" t="s">
        <v>195</v>
      </c>
      <c r="B21" s="87" t="s">
        <v>302</v>
      </c>
      <c r="C21" s="87" t="s">
        <v>315</v>
      </c>
      <c r="D21" s="85" t="s">
        <v>322</v>
      </c>
      <c r="E21" s="85" t="s">
        <v>274</v>
      </c>
      <c r="F21" s="87"/>
    </row>
    <row r="22" spans="1:6" x14ac:dyDescent="0.25">
      <c r="A22" s="86" t="s">
        <v>196</v>
      </c>
      <c r="B22" s="87" t="s">
        <v>302</v>
      </c>
      <c r="C22" s="87" t="s">
        <v>315</v>
      </c>
      <c r="D22" s="85" t="s">
        <v>322</v>
      </c>
      <c r="E22" s="85" t="s">
        <v>274</v>
      </c>
      <c r="F22" s="87"/>
    </row>
    <row r="23" spans="1:6" x14ac:dyDescent="0.25">
      <c r="A23" s="86" t="s">
        <v>197</v>
      </c>
      <c r="B23" s="87" t="s">
        <v>302</v>
      </c>
      <c r="C23" s="87" t="s">
        <v>315</v>
      </c>
      <c r="D23" s="85" t="s">
        <v>322</v>
      </c>
      <c r="E23" s="85" t="s">
        <v>274</v>
      </c>
      <c r="F23" s="87"/>
    </row>
    <row r="24" spans="1:6" x14ac:dyDescent="0.25">
      <c r="A24" s="86" t="s">
        <v>198</v>
      </c>
      <c r="B24" s="87" t="s">
        <v>303</v>
      </c>
      <c r="C24" s="87" t="s">
        <v>315</v>
      </c>
      <c r="D24" s="85" t="s">
        <v>321</v>
      </c>
      <c r="E24" s="85" t="s">
        <v>274</v>
      </c>
      <c r="F24" s="87"/>
    </row>
    <row r="25" spans="1:6" x14ac:dyDescent="0.25">
      <c r="A25" s="86" t="s">
        <v>304</v>
      </c>
      <c r="B25" s="87" t="s">
        <v>309</v>
      </c>
      <c r="C25" s="87" t="s">
        <v>316</v>
      </c>
      <c r="D25" s="85" t="s">
        <v>325</v>
      </c>
      <c r="E25" s="85" t="s">
        <v>269</v>
      </c>
      <c r="F25" s="87"/>
    </row>
    <row r="26" spans="1:6" ht="75" x14ac:dyDescent="0.25">
      <c r="A26" s="86" t="s">
        <v>305</v>
      </c>
      <c r="B26" s="87" t="s">
        <v>310</v>
      </c>
      <c r="C26" s="87" t="s">
        <v>316</v>
      </c>
      <c r="D26" s="85" t="s">
        <v>323</v>
      </c>
      <c r="E26" s="85" t="s">
        <v>274</v>
      </c>
      <c r="F26" s="87" t="s">
        <v>324</v>
      </c>
    </row>
    <row r="27" spans="1:6" x14ac:dyDescent="0.25">
      <c r="A27" s="86" t="s">
        <v>306</v>
      </c>
      <c r="B27" s="87" t="s">
        <v>311</v>
      </c>
      <c r="C27" s="87" t="s">
        <v>316</v>
      </c>
      <c r="D27" s="85" t="s">
        <v>326</v>
      </c>
      <c r="E27" s="85" t="s">
        <v>269</v>
      </c>
      <c r="F27" s="87"/>
    </row>
    <row r="28" spans="1:6" x14ac:dyDescent="0.25">
      <c r="A28" s="86" t="s">
        <v>109</v>
      </c>
      <c r="B28" s="87" t="s">
        <v>312</v>
      </c>
      <c r="C28" s="87" t="s">
        <v>316</v>
      </c>
      <c r="D28" s="85" t="s">
        <v>328</v>
      </c>
      <c r="E28" s="85" t="s">
        <v>274</v>
      </c>
      <c r="F28" s="87"/>
    </row>
    <row r="29" spans="1:6" x14ac:dyDescent="0.25">
      <c r="A29" s="86" t="s">
        <v>307</v>
      </c>
      <c r="B29" s="87" t="s">
        <v>327</v>
      </c>
      <c r="C29" s="87" t="s">
        <v>316</v>
      </c>
      <c r="D29" s="85" t="s">
        <v>325</v>
      </c>
      <c r="E29" s="85" t="s">
        <v>269</v>
      </c>
      <c r="F29" s="87"/>
    </row>
    <row r="30" spans="1:6" x14ac:dyDescent="0.25">
      <c r="A30" s="86" t="s">
        <v>204</v>
      </c>
      <c r="B30" s="87" t="s">
        <v>313</v>
      </c>
      <c r="C30" s="87" t="s">
        <v>316</v>
      </c>
      <c r="D30" s="85" t="s">
        <v>325</v>
      </c>
      <c r="E30" s="85" t="s">
        <v>269</v>
      </c>
      <c r="F30" s="87"/>
    </row>
    <row r="31" spans="1:6" ht="30" x14ac:dyDescent="0.25">
      <c r="A31" s="86" t="s">
        <v>308</v>
      </c>
      <c r="B31" s="87" t="s">
        <v>330</v>
      </c>
      <c r="C31" s="87" t="s">
        <v>316</v>
      </c>
      <c r="D31" s="85" t="s">
        <v>268</v>
      </c>
      <c r="E31" s="85" t="s">
        <v>269</v>
      </c>
      <c r="F31" s="87" t="s">
        <v>329</v>
      </c>
    </row>
    <row r="32" spans="1:6" x14ac:dyDescent="0.25">
      <c r="A32" s="86" t="s">
        <v>1</v>
      </c>
      <c r="B32" s="87" t="s">
        <v>314</v>
      </c>
      <c r="C32" s="87" t="s">
        <v>316</v>
      </c>
      <c r="D32" s="85" t="s">
        <v>292</v>
      </c>
      <c r="E32" s="85" t="s">
        <v>269</v>
      </c>
      <c r="F32" s="87"/>
    </row>
    <row r="33" spans="1:6" x14ac:dyDescent="0.25">
      <c r="A33" s="86" t="s">
        <v>205</v>
      </c>
      <c r="B33" s="87" t="s">
        <v>331</v>
      </c>
      <c r="C33" s="87" t="s">
        <v>316</v>
      </c>
      <c r="D33" s="85" t="s">
        <v>292</v>
      </c>
      <c r="E33" s="85" t="s">
        <v>269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4" t="s">
        <v>333</v>
      </c>
      <c r="B1" s="234"/>
      <c r="C1" s="95"/>
      <c r="D1" s="95"/>
      <c r="E1" s="95"/>
    </row>
    <row r="2" spans="1:5" x14ac:dyDescent="0.25">
      <c r="A2" s="234" t="s">
        <v>334</v>
      </c>
      <c r="B2" s="234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335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336</v>
      </c>
      <c r="C7" s="95"/>
      <c r="D7" s="95"/>
      <c r="E7" s="95"/>
    </row>
    <row r="8" spans="1:5" x14ac:dyDescent="0.25">
      <c r="A8" s="102" t="s">
        <v>36</v>
      </c>
      <c r="B8" s="103" t="s">
        <v>337</v>
      </c>
      <c r="C8" s="95"/>
      <c r="D8" s="95"/>
      <c r="E8" s="95"/>
    </row>
    <row r="9" spans="1:5" x14ac:dyDescent="0.25">
      <c r="A9" s="102" t="s">
        <v>215</v>
      </c>
      <c r="B9" s="103" t="s">
        <v>338</v>
      </c>
      <c r="C9" s="95"/>
      <c r="D9" s="95"/>
      <c r="E9" s="95"/>
    </row>
    <row r="10" spans="1:5" ht="38.25" x14ac:dyDescent="0.25">
      <c r="A10" s="104" t="s">
        <v>339</v>
      </c>
      <c r="B10" s="105" t="s">
        <v>340</v>
      </c>
      <c r="C10" s="95"/>
      <c r="D10" s="95"/>
      <c r="E10" s="95"/>
    </row>
    <row r="11" spans="1:5" x14ac:dyDescent="0.25">
      <c r="A11" s="102" t="s">
        <v>99</v>
      </c>
      <c r="B11" s="103" t="s">
        <v>341</v>
      </c>
      <c r="C11" s="95"/>
      <c r="D11" s="95"/>
      <c r="E11" s="95"/>
    </row>
    <row r="12" spans="1:5" x14ac:dyDescent="0.25">
      <c r="A12" s="102" t="s">
        <v>68</v>
      </c>
      <c r="B12" s="103" t="s">
        <v>342</v>
      </c>
      <c r="C12" s="95"/>
      <c r="D12" s="95"/>
      <c r="E12" s="95"/>
    </row>
    <row r="13" spans="1:5" x14ac:dyDescent="0.25">
      <c r="A13" s="102" t="s">
        <v>343</v>
      </c>
      <c r="B13" s="103" t="s">
        <v>344</v>
      </c>
      <c r="C13" s="95"/>
      <c r="D13" s="95"/>
      <c r="E13" s="95"/>
    </row>
    <row r="14" spans="1:5" x14ac:dyDescent="0.25">
      <c r="A14" s="102" t="s">
        <v>345</v>
      </c>
      <c r="B14" s="103" t="s">
        <v>346</v>
      </c>
      <c r="C14" s="95"/>
      <c r="D14" s="95"/>
      <c r="E14" s="95"/>
    </row>
    <row r="15" spans="1:5" x14ac:dyDescent="0.25">
      <c r="A15" s="102">
        <v>11</v>
      </c>
      <c r="B15" s="103" t="s">
        <v>347</v>
      </c>
      <c r="C15" s="95"/>
      <c r="D15" s="95"/>
      <c r="E15" s="95"/>
    </row>
    <row r="16" spans="1:5" x14ac:dyDescent="0.25">
      <c r="A16" s="102" t="s">
        <v>220</v>
      </c>
      <c r="B16" s="103" t="s">
        <v>348</v>
      </c>
      <c r="C16" s="95"/>
      <c r="D16" s="95"/>
      <c r="E16" s="95"/>
    </row>
    <row r="17" spans="1:5" ht="26.25" x14ac:dyDescent="0.25">
      <c r="A17" s="104" t="s">
        <v>221</v>
      </c>
      <c r="B17" s="103" t="s">
        <v>349</v>
      </c>
      <c r="C17" s="95"/>
      <c r="D17" s="95"/>
      <c r="E17" s="95"/>
    </row>
    <row r="18" spans="1:5" x14ac:dyDescent="0.25">
      <c r="A18" s="102">
        <v>14</v>
      </c>
      <c r="B18" s="103" t="s">
        <v>350</v>
      </c>
      <c r="C18" s="95"/>
      <c r="D18" s="95"/>
      <c r="E18" s="95"/>
    </row>
    <row r="19" spans="1:5" ht="26.25" x14ac:dyDescent="0.25">
      <c r="A19" s="104">
        <v>15</v>
      </c>
      <c r="B19" s="103" t="s">
        <v>351</v>
      </c>
      <c r="C19" s="95"/>
      <c r="D19" s="95"/>
      <c r="E19" s="95"/>
    </row>
    <row r="20" spans="1:5" ht="26.25" x14ac:dyDescent="0.25">
      <c r="A20" s="102">
        <v>16</v>
      </c>
      <c r="B20" s="103" t="s">
        <v>352</v>
      </c>
      <c r="C20" s="95"/>
      <c r="D20" s="95"/>
      <c r="E20" s="95"/>
    </row>
    <row r="21" spans="1:5" x14ac:dyDescent="0.25">
      <c r="A21" s="102" t="s">
        <v>226</v>
      </c>
      <c r="B21" s="103" t="s">
        <v>353</v>
      </c>
      <c r="C21" s="95"/>
      <c r="D21" s="95"/>
      <c r="E21" s="95"/>
    </row>
    <row r="22" spans="1:5" x14ac:dyDescent="0.25">
      <c r="A22" s="102">
        <v>19</v>
      </c>
      <c r="B22" s="103" t="s">
        <v>354</v>
      </c>
      <c r="C22" s="95"/>
      <c r="D22" s="95"/>
      <c r="E22" s="95"/>
    </row>
    <row r="23" spans="1:5" x14ac:dyDescent="0.25">
      <c r="A23" s="102" t="s">
        <v>228</v>
      </c>
      <c r="B23" s="103" t="s">
        <v>355</v>
      </c>
      <c r="C23" s="95"/>
      <c r="D23" s="95"/>
      <c r="E23" s="95"/>
    </row>
    <row r="24" spans="1:5" x14ac:dyDescent="0.25">
      <c r="A24" s="102">
        <v>21</v>
      </c>
      <c r="B24" s="103" t="s">
        <v>356</v>
      </c>
      <c r="C24" s="95"/>
      <c r="D24" s="95"/>
      <c r="E24" s="95"/>
    </row>
    <row r="25" spans="1:5" x14ac:dyDescent="0.25">
      <c r="A25" s="102">
        <v>23</v>
      </c>
      <c r="B25" s="103" t="s">
        <v>357</v>
      </c>
      <c r="C25" s="95"/>
      <c r="D25" s="95"/>
      <c r="E25" s="95"/>
    </row>
    <row r="26" spans="1:5" x14ac:dyDescent="0.25">
      <c r="A26" s="102">
        <v>24</v>
      </c>
      <c r="B26" s="103" t="s">
        <v>358</v>
      </c>
      <c r="C26" s="95"/>
      <c r="D26" s="95"/>
      <c r="E26" s="95"/>
    </row>
    <row r="27" spans="1:5" x14ac:dyDescent="0.25">
      <c r="A27" s="102">
        <v>28</v>
      </c>
      <c r="B27" s="103" t="s">
        <v>359</v>
      </c>
      <c r="C27" s="95"/>
      <c r="D27" s="95"/>
      <c r="E27" s="95"/>
    </row>
    <row r="28" spans="1:5" x14ac:dyDescent="0.25">
      <c r="A28" s="102">
        <v>29</v>
      </c>
      <c r="B28" s="103" t="s">
        <v>360</v>
      </c>
      <c r="C28" s="95"/>
      <c r="D28" s="95"/>
      <c r="E28" s="95"/>
    </row>
    <row r="29" spans="1:5" ht="39" x14ac:dyDescent="0.25">
      <c r="A29" s="104" t="s">
        <v>235</v>
      </c>
      <c r="B29" s="103" t="s">
        <v>361</v>
      </c>
      <c r="C29" s="95"/>
      <c r="D29" s="95"/>
      <c r="E29" s="95"/>
    </row>
    <row r="30" spans="1:5" x14ac:dyDescent="0.25">
      <c r="A30" s="102" t="s">
        <v>236</v>
      </c>
      <c r="B30" s="103" t="s">
        <v>362</v>
      </c>
      <c r="C30" s="95"/>
      <c r="D30" s="95"/>
      <c r="E30" s="95"/>
    </row>
    <row r="31" spans="1:5" x14ac:dyDescent="0.25">
      <c r="A31" s="102">
        <v>32</v>
      </c>
      <c r="B31" s="103" t="s">
        <v>363</v>
      </c>
      <c r="C31" s="95"/>
      <c r="D31" s="95"/>
      <c r="E31" s="95"/>
    </row>
    <row r="32" spans="1:5" x14ac:dyDescent="0.25">
      <c r="A32" s="102">
        <v>34</v>
      </c>
      <c r="B32" s="103" t="s">
        <v>364</v>
      </c>
      <c r="C32" s="95"/>
      <c r="D32" s="95"/>
      <c r="E32" s="95"/>
    </row>
    <row r="33" spans="1:5" x14ac:dyDescent="0.25">
      <c r="A33" s="102">
        <v>35</v>
      </c>
      <c r="B33" s="103" t="s">
        <v>365</v>
      </c>
      <c r="C33" s="95"/>
      <c r="D33" s="95"/>
      <c r="E33" s="95"/>
    </row>
    <row r="34" spans="1:5" x14ac:dyDescent="0.25">
      <c r="A34" s="102">
        <v>36</v>
      </c>
      <c r="B34" s="103" t="s">
        <v>366</v>
      </c>
      <c r="C34" s="95"/>
      <c r="D34" s="95"/>
      <c r="E34" s="95"/>
    </row>
    <row r="35" spans="1:5" x14ac:dyDescent="0.25">
      <c r="A35" s="102">
        <v>37</v>
      </c>
      <c r="B35" s="103" t="s">
        <v>367</v>
      </c>
      <c r="C35" s="95"/>
      <c r="D35" s="95"/>
      <c r="E35" s="95"/>
    </row>
    <row r="36" spans="1:5" x14ac:dyDescent="0.25">
      <c r="A36" s="102" t="s">
        <v>242</v>
      </c>
      <c r="B36" s="103" t="s">
        <v>368</v>
      </c>
      <c r="C36" s="95"/>
      <c r="D36" s="95"/>
      <c r="E36" s="95"/>
    </row>
    <row r="37" spans="1:5" x14ac:dyDescent="0.25">
      <c r="A37" s="102" t="s">
        <v>243</v>
      </c>
      <c r="B37" s="103" t="s">
        <v>369</v>
      </c>
      <c r="C37" s="95"/>
      <c r="D37" s="95"/>
      <c r="E37" s="95"/>
    </row>
    <row r="38" spans="1:5" ht="26.25" x14ac:dyDescent="0.25">
      <c r="A38" s="104">
        <v>42</v>
      </c>
      <c r="B38" s="103" t="s">
        <v>370</v>
      </c>
      <c r="C38" s="95"/>
      <c r="D38" s="95"/>
      <c r="E38" s="95"/>
    </row>
    <row r="39" spans="1:5" x14ac:dyDescent="0.25">
      <c r="A39" s="102">
        <v>43</v>
      </c>
      <c r="B39" s="103" t="s">
        <v>371</v>
      </c>
      <c r="C39" s="95"/>
      <c r="D39" s="95"/>
      <c r="E39" s="95"/>
    </row>
    <row r="40" spans="1:5" ht="26.25" x14ac:dyDescent="0.25">
      <c r="A40" s="104">
        <v>45</v>
      </c>
      <c r="B40" s="103" t="s">
        <v>372</v>
      </c>
      <c r="C40" s="95"/>
      <c r="D40" s="95"/>
      <c r="E40" s="95"/>
    </row>
    <row r="41" spans="1:5" x14ac:dyDescent="0.25">
      <c r="A41" s="104">
        <v>55</v>
      </c>
      <c r="B41" s="103" t="s">
        <v>373</v>
      </c>
      <c r="C41" s="95"/>
      <c r="D41" s="95"/>
      <c r="E41" s="95"/>
    </row>
    <row r="42" spans="1:5" x14ac:dyDescent="0.25">
      <c r="A42" s="102" t="s">
        <v>250</v>
      </c>
      <c r="B42" s="103" t="s">
        <v>374</v>
      </c>
      <c r="C42" s="95"/>
      <c r="D42" s="95"/>
      <c r="E42" s="95"/>
    </row>
    <row r="43" spans="1:5" x14ac:dyDescent="0.25">
      <c r="A43" s="102" t="s">
        <v>253</v>
      </c>
      <c r="B43" s="103" t="s">
        <v>375</v>
      </c>
      <c r="C43" s="95"/>
      <c r="D43" s="95"/>
      <c r="E43" s="95"/>
    </row>
    <row r="44" spans="1:5" x14ac:dyDescent="0.25">
      <c r="A44" s="102" t="s">
        <v>254</v>
      </c>
      <c r="B44" s="103" t="s">
        <v>376</v>
      </c>
      <c r="C44" s="95"/>
      <c r="D44" s="95"/>
      <c r="E44" s="95"/>
    </row>
    <row r="45" spans="1:5" x14ac:dyDescent="0.25">
      <c r="A45" s="102">
        <v>87</v>
      </c>
      <c r="B45" s="103" t="s">
        <v>377</v>
      </c>
      <c r="C45" s="95"/>
      <c r="D45" s="95"/>
      <c r="E45" s="95"/>
    </row>
    <row r="46" spans="1:5" x14ac:dyDescent="0.25">
      <c r="A46" s="102">
        <v>88</v>
      </c>
      <c r="B46" s="103" t="s">
        <v>378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214</v>
      </c>
      <c r="C50" s="95"/>
      <c r="D50" s="95"/>
      <c r="E50" s="95"/>
    </row>
    <row r="51" spans="1:5" x14ac:dyDescent="0.25">
      <c r="A51" s="97" t="s">
        <v>150</v>
      </c>
      <c r="B51" s="99" t="s">
        <v>379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5" t="s">
        <v>380</v>
      </c>
      <c r="B53" s="235"/>
      <c r="C53" s="95"/>
      <c r="D53" s="95"/>
      <c r="E53" s="95"/>
    </row>
    <row r="54" spans="1:5" x14ac:dyDescent="0.25">
      <c r="A54" s="236" t="s">
        <v>381</v>
      </c>
      <c r="B54" s="236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382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5" t="s">
        <v>383</v>
      </c>
      <c r="B59" s="235"/>
      <c r="C59" s="95"/>
      <c r="D59" s="95"/>
      <c r="E59" s="95"/>
    </row>
    <row r="60" spans="1:5" x14ac:dyDescent="0.25">
      <c r="A60" s="237" t="s">
        <v>384</v>
      </c>
      <c r="B60" s="238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215</v>
      </c>
      <c r="C62" s="95"/>
      <c r="D62" s="95"/>
      <c r="E62" s="95"/>
    </row>
    <row r="63" spans="1:5" x14ac:dyDescent="0.25">
      <c r="A63" s="97" t="s">
        <v>150</v>
      </c>
      <c r="B63" s="99" t="s">
        <v>385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5" t="s">
        <v>386</v>
      </c>
      <c r="B65" s="235"/>
      <c r="C65" s="95"/>
      <c r="D65" s="95"/>
      <c r="E65" s="95"/>
    </row>
    <row r="66" spans="1:5" x14ac:dyDescent="0.25">
      <c r="A66" s="236" t="s">
        <v>387</v>
      </c>
      <c r="B66" s="236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9" t="s">
        <v>339</v>
      </c>
      <c r="C68" s="239"/>
      <c r="D68" s="239"/>
      <c r="E68" s="95"/>
    </row>
    <row r="69" spans="1:5" x14ac:dyDescent="0.25">
      <c r="A69" s="111" t="s">
        <v>150</v>
      </c>
      <c r="B69" s="240" t="s">
        <v>388</v>
      </c>
      <c r="C69" s="240"/>
      <c r="D69" s="240"/>
      <c r="E69" s="95"/>
    </row>
    <row r="70" spans="1:5" x14ac:dyDescent="0.25">
      <c r="A70" s="100" t="s">
        <v>152</v>
      </c>
      <c r="B70" s="101" t="s">
        <v>153</v>
      </c>
      <c r="C70" s="101" t="s">
        <v>389</v>
      </c>
      <c r="D70" s="100" t="s">
        <v>390</v>
      </c>
      <c r="E70" s="95"/>
    </row>
    <row r="71" spans="1:5" x14ac:dyDescent="0.25">
      <c r="A71" s="102" t="s">
        <v>391</v>
      </c>
      <c r="B71" s="99" t="s">
        <v>392</v>
      </c>
      <c r="C71" s="112" t="s">
        <v>393</v>
      </c>
      <c r="D71" s="112" t="s">
        <v>1</v>
      </c>
      <c r="E71" s="95"/>
    </row>
    <row r="72" spans="1:5" x14ac:dyDescent="0.25">
      <c r="A72" s="102">
        <v>1016</v>
      </c>
      <c r="B72" s="99" t="s">
        <v>394</v>
      </c>
      <c r="C72" s="112" t="s">
        <v>393</v>
      </c>
      <c r="D72" s="112" t="s">
        <v>395</v>
      </c>
      <c r="E72" s="95"/>
    </row>
    <row r="73" spans="1:5" x14ac:dyDescent="0.25">
      <c r="A73" s="102" t="s">
        <v>396</v>
      </c>
      <c r="B73" s="99" t="s">
        <v>397</v>
      </c>
      <c r="C73" s="112" t="s">
        <v>398</v>
      </c>
      <c r="D73" s="112" t="s">
        <v>399</v>
      </c>
      <c r="E73" s="95"/>
    </row>
    <row r="74" spans="1:5" x14ac:dyDescent="0.25">
      <c r="A74" s="102">
        <v>3000</v>
      </c>
      <c r="B74" s="99" t="s">
        <v>400</v>
      </c>
      <c r="C74" s="112" t="s">
        <v>401</v>
      </c>
      <c r="D74" s="112" t="s">
        <v>402</v>
      </c>
      <c r="E74" s="95"/>
    </row>
    <row r="75" spans="1:5" x14ac:dyDescent="0.25">
      <c r="A75" s="102">
        <v>7152</v>
      </c>
      <c r="B75" s="99" t="s">
        <v>403</v>
      </c>
      <c r="C75" s="112" t="s">
        <v>404</v>
      </c>
      <c r="D75" s="112" t="s">
        <v>60</v>
      </c>
      <c r="E75" s="95"/>
    </row>
    <row r="76" spans="1:5" x14ac:dyDescent="0.25">
      <c r="A76" s="102">
        <v>9995</v>
      </c>
      <c r="B76" s="99" t="s">
        <v>405</v>
      </c>
      <c r="C76" s="112" t="s">
        <v>406</v>
      </c>
      <c r="D76" s="112" t="s">
        <v>407</v>
      </c>
      <c r="E76" s="95"/>
    </row>
    <row r="77" spans="1:5" x14ac:dyDescent="0.25">
      <c r="A77" s="102">
        <v>9996</v>
      </c>
      <c r="B77" s="99" t="s">
        <v>408</v>
      </c>
      <c r="C77" s="112" t="s">
        <v>406</v>
      </c>
      <c r="D77" s="112" t="s">
        <v>409</v>
      </c>
      <c r="E77" s="95"/>
    </row>
    <row r="78" spans="1:5" x14ac:dyDescent="0.25">
      <c r="A78" s="102">
        <v>9997</v>
      </c>
      <c r="B78" s="99" t="s">
        <v>410</v>
      </c>
      <c r="C78" s="112" t="s">
        <v>393</v>
      </c>
      <c r="D78" s="112" t="s">
        <v>411</v>
      </c>
      <c r="E78" s="95"/>
    </row>
    <row r="79" spans="1:5" x14ac:dyDescent="0.25">
      <c r="A79" s="102">
        <v>9998</v>
      </c>
      <c r="B79" s="99" t="s">
        <v>412</v>
      </c>
      <c r="C79" s="112" t="s">
        <v>406</v>
      </c>
      <c r="D79" s="112" t="s">
        <v>413</v>
      </c>
      <c r="E79" s="95"/>
    </row>
    <row r="80" spans="1:5" x14ac:dyDescent="0.25">
      <c r="A80" s="102" t="s">
        <v>414</v>
      </c>
      <c r="B80" s="99" t="s">
        <v>415</v>
      </c>
      <c r="C80" s="112" t="s">
        <v>404</v>
      </c>
      <c r="D80" s="112" t="s">
        <v>416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417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206</v>
      </c>
      <c r="B85" s="99" t="s">
        <v>418</v>
      </c>
      <c r="C85" s="95"/>
      <c r="D85" s="95"/>
      <c r="E85" s="95"/>
    </row>
    <row r="86" spans="1:5" x14ac:dyDescent="0.25">
      <c r="A86" s="102" t="s">
        <v>102</v>
      </c>
      <c r="B86" s="99" t="s">
        <v>419</v>
      </c>
      <c r="C86" s="95"/>
      <c r="D86" s="95"/>
      <c r="E86" s="95"/>
    </row>
    <row r="87" spans="1:5" x14ac:dyDescent="0.25">
      <c r="A87" s="102" t="s">
        <v>104</v>
      </c>
      <c r="B87" s="99" t="s">
        <v>420</v>
      </c>
      <c r="C87" s="95"/>
      <c r="D87" s="95"/>
      <c r="E87" s="95"/>
    </row>
    <row r="88" spans="1:5" x14ac:dyDescent="0.25">
      <c r="A88" s="102" t="s">
        <v>105</v>
      </c>
      <c r="B88" s="99" t="s">
        <v>421</v>
      </c>
      <c r="C88" s="95"/>
      <c r="D88" s="95"/>
      <c r="E88" s="95"/>
    </row>
    <row r="89" spans="1:5" x14ac:dyDescent="0.25">
      <c r="A89" s="102" t="s">
        <v>106</v>
      </c>
      <c r="B89" s="99" t="s">
        <v>422</v>
      </c>
      <c r="C89" s="95"/>
      <c r="D89" s="95"/>
      <c r="E89" s="95"/>
    </row>
    <row r="90" spans="1:5" x14ac:dyDescent="0.25">
      <c r="A90" s="102" t="s">
        <v>7</v>
      </c>
      <c r="B90" s="99" t="s">
        <v>423</v>
      </c>
      <c r="C90" s="95"/>
      <c r="D90" s="95"/>
      <c r="E90" s="95"/>
    </row>
    <row r="91" spans="1:5" x14ac:dyDescent="0.25">
      <c r="A91" s="112" t="s">
        <v>37</v>
      </c>
      <c r="B91" s="99" t="s">
        <v>424</v>
      </c>
      <c r="C91" s="95"/>
      <c r="D91" s="95"/>
      <c r="E91" s="95"/>
    </row>
    <row r="92" spans="1:5" x14ac:dyDescent="0.25">
      <c r="A92" s="112" t="s">
        <v>111</v>
      </c>
      <c r="B92" s="99" t="s">
        <v>425</v>
      </c>
      <c r="C92" s="95"/>
      <c r="D92" s="95"/>
      <c r="E92" s="95"/>
    </row>
    <row r="93" spans="1:5" x14ac:dyDescent="0.25">
      <c r="A93" s="112" t="s">
        <v>213</v>
      </c>
      <c r="B93" s="99" t="s">
        <v>426</v>
      </c>
      <c r="C93" s="95"/>
      <c r="D93" s="95"/>
      <c r="E93" s="95"/>
    </row>
    <row r="94" spans="1:5" x14ac:dyDescent="0.25">
      <c r="A94" s="112" t="s">
        <v>115</v>
      </c>
      <c r="B94" s="99" t="s">
        <v>427</v>
      </c>
      <c r="C94" s="95"/>
      <c r="D94" s="95"/>
      <c r="E94" s="95"/>
    </row>
    <row r="95" spans="1:5" x14ac:dyDescent="0.25">
      <c r="A95" s="114" t="s">
        <v>428</v>
      </c>
      <c r="B95" s="115" t="s">
        <v>429</v>
      </c>
      <c r="C95" s="95"/>
      <c r="D95" s="95"/>
      <c r="E95" s="95"/>
    </row>
    <row r="96" spans="1:5" x14ac:dyDescent="0.25">
      <c r="A96" s="116" t="s">
        <v>430</v>
      </c>
      <c r="B96" s="117" t="s">
        <v>431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432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433</v>
      </c>
      <c r="D100" s="95"/>
      <c r="E100" s="95"/>
    </row>
    <row r="101" spans="1:5" x14ac:dyDescent="0.25">
      <c r="A101" s="102" t="s">
        <v>107</v>
      </c>
      <c r="B101" s="99" t="s">
        <v>434</v>
      </c>
      <c r="C101" s="112">
        <v>1000</v>
      </c>
      <c r="D101" s="95"/>
      <c r="E101" s="95"/>
    </row>
    <row r="102" spans="1:5" x14ac:dyDescent="0.25">
      <c r="A102" s="102" t="s">
        <v>219</v>
      </c>
      <c r="B102" s="99" t="s">
        <v>435</v>
      </c>
      <c r="C102" s="112">
        <v>9996</v>
      </c>
      <c r="D102" s="95"/>
      <c r="E102" s="95"/>
    </row>
    <row r="103" spans="1:5" x14ac:dyDescent="0.25">
      <c r="A103" s="102" t="s">
        <v>220</v>
      </c>
      <c r="B103" s="99" t="s">
        <v>436</v>
      </c>
      <c r="C103" s="112">
        <v>9996</v>
      </c>
      <c r="D103" s="95"/>
      <c r="E103" s="95"/>
    </row>
    <row r="104" spans="1:5" x14ac:dyDescent="0.25">
      <c r="A104" s="102" t="s">
        <v>221</v>
      </c>
      <c r="B104" s="99" t="s">
        <v>437</v>
      </c>
      <c r="C104" s="112">
        <v>9996</v>
      </c>
      <c r="D104" s="95"/>
      <c r="E104" s="95"/>
    </row>
    <row r="105" spans="1:5" x14ac:dyDescent="0.25">
      <c r="A105" s="102" t="s">
        <v>222</v>
      </c>
      <c r="B105" s="99" t="s">
        <v>438</v>
      </c>
      <c r="C105" s="112">
        <v>9996</v>
      </c>
      <c r="D105" s="95"/>
      <c r="E105" s="95"/>
    </row>
    <row r="106" spans="1:5" x14ac:dyDescent="0.25">
      <c r="A106" s="102" t="s">
        <v>223</v>
      </c>
      <c r="B106" s="99" t="s">
        <v>439</v>
      </c>
      <c r="C106" s="112">
        <v>9996</v>
      </c>
      <c r="D106" s="95"/>
      <c r="E106" s="95"/>
    </row>
    <row r="107" spans="1:5" x14ac:dyDescent="0.25">
      <c r="A107" s="102" t="s">
        <v>224</v>
      </c>
      <c r="B107" s="99" t="s">
        <v>440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441</v>
      </c>
      <c r="C108" s="112" t="s">
        <v>442</v>
      </c>
      <c r="D108" s="95"/>
      <c r="E108" s="95"/>
    </row>
    <row r="109" spans="1:5" x14ac:dyDescent="0.25">
      <c r="A109" s="102" t="s">
        <v>228</v>
      </c>
      <c r="B109" s="99" t="s">
        <v>443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444</v>
      </c>
      <c r="C110" s="112">
        <v>9996</v>
      </c>
      <c r="D110" s="95"/>
      <c r="E110" s="95"/>
    </row>
    <row r="111" spans="1:5" x14ac:dyDescent="0.25">
      <c r="A111" s="102" t="s">
        <v>235</v>
      </c>
      <c r="B111" s="99" t="s">
        <v>445</v>
      </c>
      <c r="C111" s="112">
        <v>9998</v>
      </c>
      <c r="D111" s="95"/>
      <c r="E111" s="95"/>
    </row>
    <row r="112" spans="1:5" x14ac:dyDescent="0.25">
      <c r="A112" s="102" t="s">
        <v>236</v>
      </c>
      <c r="B112" s="99" t="s">
        <v>446</v>
      </c>
      <c r="C112" s="112">
        <v>9996</v>
      </c>
      <c r="D112" s="95"/>
      <c r="E112" s="95"/>
    </row>
    <row r="113" spans="1:5" x14ac:dyDescent="0.25">
      <c r="A113" s="102" t="s">
        <v>237</v>
      </c>
      <c r="B113" s="99" t="s">
        <v>447</v>
      </c>
      <c r="C113" s="112">
        <v>9996</v>
      </c>
      <c r="D113" s="95"/>
      <c r="E113" s="95"/>
    </row>
    <row r="114" spans="1:5" x14ac:dyDescent="0.25">
      <c r="A114" s="102" t="s">
        <v>238</v>
      </c>
      <c r="B114" s="99" t="s">
        <v>448</v>
      </c>
      <c r="C114" s="112">
        <v>9996</v>
      </c>
      <c r="D114" s="95"/>
      <c r="E114" s="95"/>
    </row>
    <row r="115" spans="1:5" x14ac:dyDescent="0.25">
      <c r="A115" s="102" t="s">
        <v>239</v>
      </c>
      <c r="B115" s="99" t="s">
        <v>449</v>
      </c>
      <c r="C115" s="112">
        <v>9996</v>
      </c>
      <c r="D115" s="95"/>
      <c r="E115" s="95"/>
    </row>
    <row r="116" spans="1:5" x14ac:dyDescent="0.25">
      <c r="A116" s="102" t="s">
        <v>240</v>
      </c>
      <c r="B116" s="99" t="s">
        <v>450</v>
      </c>
      <c r="C116" s="112">
        <v>9996</v>
      </c>
      <c r="D116" s="95"/>
      <c r="E116" s="95"/>
    </row>
    <row r="117" spans="1:5" x14ac:dyDescent="0.25">
      <c r="A117" s="102" t="s">
        <v>241</v>
      </c>
      <c r="B117" s="99" t="s">
        <v>451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452</v>
      </c>
      <c r="C118" s="112">
        <v>9996</v>
      </c>
      <c r="D118" s="95"/>
      <c r="E118" s="95"/>
    </row>
    <row r="119" spans="1:5" x14ac:dyDescent="0.25">
      <c r="A119" s="102" t="s">
        <v>242</v>
      </c>
      <c r="B119" s="99" t="s">
        <v>453</v>
      </c>
      <c r="C119" s="112" t="s">
        <v>454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343</v>
      </c>
      <c r="C121" s="95"/>
      <c r="D121" s="95"/>
      <c r="E121" s="95"/>
    </row>
    <row r="122" spans="1:5" x14ac:dyDescent="0.25">
      <c r="A122" s="97" t="s">
        <v>150</v>
      </c>
      <c r="B122" s="99" t="s">
        <v>455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456</v>
      </c>
      <c r="C124" s="95"/>
      <c r="D124" s="95"/>
      <c r="E124" s="95"/>
    </row>
    <row r="125" spans="1:5" ht="26.25" x14ac:dyDescent="0.25">
      <c r="A125" s="104" t="s">
        <v>214</v>
      </c>
      <c r="B125" s="99" t="s">
        <v>457</v>
      </c>
      <c r="C125" s="95"/>
      <c r="D125" s="95"/>
      <c r="E125" s="95"/>
    </row>
    <row r="126" spans="1:5" x14ac:dyDescent="0.25">
      <c r="A126" s="102" t="s">
        <v>36</v>
      </c>
      <c r="B126" s="99" t="s">
        <v>458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345</v>
      </c>
      <c r="C128" s="95"/>
      <c r="D128" s="95"/>
      <c r="E128" s="95"/>
    </row>
    <row r="129" spans="1:5" x14ac:dyDescent="0.25">
      <c r="A129" s="97" t="s">
        <v>150</v>
      </c>
      <c r="B129" s="99" t="s">
        <v>459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460</v>
      </c>
      <c r="C131" s="95"/>
      <c r="D131" s="95"/>
      <c r="E131" s="95"/>
    </row>
    <row r="132" spans="1:5" x14ac:dyDescent="0.25">
      <c r="A132" s="102" t="s">
        <v>214</v>
      </c>
      <c r="B132" s="99" t="s">
        <v>461</v>
      </c>
      <c r="C132" s="95"/>
      <c r="D132" s="95"/>
      <c r="E132" s="95"/>
    </row>
    <row r="133" spans="1:5" x14ac:dyDescent="0.25">
      <c r="A133" s="102" t="s">
        <v>36</v>
      </c>
      <c r="B133" s="99" t="s">
        <v>462</v>
      </c>
      <c r="C133" s="95"/>
      <c r="D133" s="95"/>
      <c r="E133" s="95"/>
    </row>
    <row r="134" spans="1:5" x14ac:dyDescent="0.25">
      <c r="A134" s="102" t="s">
        <v>215</v>
      </c>
      <c r="B134" s="99" t="s">
        <v>463</v>
      </c>
      <c r="C134" s="95"/>
      <c r="D134" s="95"/>
      <c r="E134" s="95"/>
    </row>
    <row r="135" spans="1:5" x14ac:dyDescent="0.25">
      <c r="A135" s="102" t="s">
        <v>339</v>
      </c>
      <c r="B135" s="99" t="s">
        <v>464</v>
      </c>
      <c r="C135" s="95"/>
      <c r="D135" s="95"/>
      <c r="E135" s="95"/>
    </row>
    <row r="136" spans="1:5" x14ac:dyDescent="0.25">
      <c r="A136" s="102" t="s">
        <v>99</v>
      </c>
      <c r="B136" s="99" t="s">
        <v>465</v>
      </c>
      <c r="C136" s="95"/>
      <c r="D136" s="95"/>
      <c r="E136" s="95"/>
    </row>
    <row r="137" spans="1:5" x14ac:dyDescent="0.25">
      <c r="A137" s="102" t="s">
        <v>68</v>
      </c>
      <c r="B137" s="99" t="s">
        <v>466</v>
      </c>
      <c r="C137" s="95"/>
      <c r="D137" s="95"/>
      <c r="E137" s="95"/>
    </row>
    <row r="138" spans="1:5" x14ac:dyDescent="0.25">
      <c r="A138" s="102" t="s">
        <v>343</v>
      </c>
      <c r="B138" s="99" t="s">
        <v>467</v>
      </c>
      <c r="C138" s="95"/>
      <c r="D138" s="95"/>
      <c r="E138" s="95"/>
    </row>
    <row r="139" spans="1:5" x14ac:dyDescent="0.25">
      <c r="A139" s="102" t="s">
        <v>345</v>
      </c>
      <c r="B139" s="99" t="s">
        <v>468</v>
      </c>
      <c r="C139" s="95"/>
      <c r="D139" s="95"/>
      <c r="E139" s="95"/>
    </row>
    <row r="140" spans="1:5" x14ac:dyDescent="0.25">
      <c r="A140" s="102" t="s">
        <v>107</v>
      </c>
      <c r="B140" s="99" t="s">
        <v>469</v>
      </c>
      <c r="C140" s="95"/>
      <c r="D140" s="95"/>
      <c r="E140" s="95"/>
    </row>
    <row r="141" spans="1:5" x14ac:dyDescent="0.25">
      <c r="A141" s="102">
        <v>11</v>
      </c>
      <c r="B141" s="99" t="s">
        <v>470</v>
      </c>
      <c r="C141" s="95"/>
      <c r="D141" s="95"/>
      <c r="E141" s="95"/>
    </row>
    <row r="142" spans="1:5" x14ac:dyDescent="0.25">
      <c r="A142" s="102">
        <v>12</v>
      </c>
      <c r="B142" s="99" t="s">
        <v>471</v>
      </c>
      <c r="C142" s="95"/>
      <c r="D142" s="95"/>
      <c r="E142" s="95"/>
    </row>
    <row r="143" spans="1:5" x14ac:dyDescent="0.25">
      <c r="A143" s="119">
        <v>13</v>
      </c>
      <c r="B143" s="120" t="s">
        <v>472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473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474</v>
      </c>
      <c r="C148" s="95"/>
      <c r="D148" s="95"/>
      <c r="E148" s="95"/>
    </row>
    <row r="149" spans="1:5" x14ac:dyDescent="0.25">
      <c r="A149" s="102" t="s">
        <v>214</v>
      </c>
      <c r="B149" s="99" t="s">
        <v>475</v>
      </c>
      <c r="C149" s="95"/>
      <c r="D149" s="95"/>
      <c r="E149" s="95"/>
    </row>
    <row r="150" spans="1:5" x14ac:dyDescent="0.25">
      <c r="A150" s="102" t="s">
        <v>36</v>
      </c>
      <c r="B150" s="99" t="s">
        <v>476</v>
      </c>
      <c r="C150" s="95"/>
      <c r="D150" s="95"/>
      <c r="E150" s="95"/>
    </row>
    <row r="151" spans="1:5" x14ac:dyDescent="0.25">
      <c r="A151" s="102">
        <v>11</v>
      </c>
      <c r="B151" s="99" t="s">
        <v>470</v>
      </c>
      <c r="C151" s="95"/>
      <c r="D151" s="95"/>
      <c r="E151" s="95"/>
    </row>
    <row r="152" spans="1:5" x14ac:dyDescent="0.25">
      <c r="A152" s="102">
        <v>12</v>
      </c>
      <c r="B152" s="99" t="s">
        <v>471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219</v>
      </c>
      <c r="C154" s="95"/>
      <c r="D154" s="95"/>
      <c r="E154" s="95"/>
    </row>
    <row r="155" spans="1:5" x14ac:dyDescent="0.25">
      <c r="A155" s="97" t="s">
        <v>150</v>
      </c>
      <c r="B155" s="99" t="s">
        <v>477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478</v>
      </c>
      <c r="C157" s="95"/>
      <c r="D157" s="95"/>
      <c r="E157" s="95"/>
    </row>
    <row r="158" spans="1:5" x14ac:dyDescent="0.25">
      <c r="A158" s="102" t="s">
        <v>214</v>
      </c>
      <c r="B158" s="99" t="s">
        <v>410</v>
      </c>
      <c r="C158" s="95"/>
      <c r="D158" s="95"/>
      <c r="E158" s="95"/>
    </row>
    <row r="159" spans="1:5" x14ac:dyDescent="0.25">
      <c r="A159" s="102" t="s">
        <v>36</v>
      </c>
      <c r="B159" s="99" t="s">
        <v>412</v>
      </c>
      <c r="C159" s="95"/>
      <c r="D159" s="95"/>
      <c r="E159" s="95"/>
    </row>
    <row r="160" spans="1:5" x14ac:dyDescent="0.25">
      <c r="A160" s="102" t="s">
        <v>215</v>
      </c>
      <c r="B160" s="99" t="s">
        <v>405</v>
      </c>
      <c r="C160" s="95"/>
      <c r="D160" s="95"/>
      <c r="E160" s="95"/>
    </row>
    <row r="161" spans="1:5" x14ac:dyDescent="0.25">
      <c r="A161" s="102" t="s">
        <v>339</v>
      </c>
      <c r="B161" s="99" t="s">
        <v>479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220</v>
      </c>
      <c r="C163" s="95"/>
      <c r="D163" s="95"/>
      <c r="E163" s="95"/>
    </row>
    <row r="164" spans="1:5" x14ac:dyDescent="0.25">
      <c r="A164" s="97" t="s">
        <v>150</v>
      </c>
      <c r="B164" s="99" t="s">
        <v>480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481</v>
      </c>
      <c r="C166" s="95"/>
      <c r="D166" s="95"/>
      <c r="E166" s="95"/>
    </row>
    <row r="167" spans="1:5" x14ac:dyDescent="0.25">
      <c r="A167" s="102" t="s">
        <v>214</v>
      </c>
      <c r="B167" s="99" t="s">
        <v>482</v>
      </c>
      <c r="C167" s="95"/>
      <c r="D167" s="95"/>
      <c r="E167" s="95"/>
    </row>
    <row r="168" spans="1:5" x14ac:dyDescent="0.25">
      <c r="A168" s="102" t="s">
        <v>36</v>
      </c>
      <c r="B168" s="99" t="s">
        <v>483</v>
      </c>
      <c r="C168" s="95"/>
      <c r="D168" s="95"/>
      <c r="E168" s="95"/>
    </row>
    <row r="169" spans="1:5" x14ac:dyDescent="0.25">
      <c r="A169" s="102" t="s">
        <v>215</v>
      </c>
      <c r="B169" s="99" t="s">
        <v>484</v>
      </c>
      <c r="C169" s="95"/>
      <c r="D169" s="95"/>
      <c r="E169" s="95"/>
    </row>
    <row r="170" spans="1:5" x14ac:dyDescent="0.25">
      <c r="A170" s="102" t="s">
        <v>339</v>
      </c>
      <c r="B170" s="99" t="s">
        <v>485</v>
      </c>
      <c r="C170" s="95"/>
      <c r="D170" s="95"/>
      <c r="E170" s="95"/>
    </row>
    <row r="171" spans="1:5" x14ac:dyDescent="0.25">
      <c r="A171" s="102" t="s">
        <v>99</v>
      </c>
      <c r="B171" s="99" t="s">
        <v>486</v>
      </c>
      <c r="C171" s="95"/>
      <c r="D171" s="95"/>
      <c r="E171" s="95"/>
    </row>
    <row r="172" spans="1:5" x14ac:dyDescent="0.25">
      <c r="A172" s="102" t="s">
        <v>68</v>
      </c>
      <c r="B172" s="99" t="s">
        <v>487</v>
      </c>
      <c r="C172" s="95"/>
      <c r="D172" s="95"/>
      <c r="E172" s="95"/>
    </row>
    <row r="173" spans="1:5" x14ac:dyDescent="0.25">
      <c r="A173" s="102" t="s">
        <v>343</v>
      </c>
      <c r="B173" s="99" t="s">
        <v>488</v>
      </c>
      <c r="C173" s="95"/>
      <c r="D173" s="95"/>
      <c r="E173" s="95"/>
    </row>
    <row r="174" spans="1:5" x14ac:dyDescent="0.25">
      <c r="A174" s="102" t="s">
        <v>345</v>
      </c>
      <c r="B174" s="99" t="s">
        <v>489</v>
      </c>
      <c r="C174" s="95"/>
      <c r="D174" s="95"/>
      <c r="E174" s="95"/>
    </row>
    <row r="175" spans="1:5" x14ac:dyDescent="0.25">
      <c r="A175" s="102">
        <v>10</v>
      </c>
      <c r="B175" s="99" t="s">
        <v>490</v>
      </c>
      <c r="C175" s="95"/>
      <c r="D175" s="95"/>
      <c r="E175" s="95"/>
    </row>
    <row r="176" spans="1:5" x14ac:dyDescent="0.25">
      <c r="A176" s="102" t="s">
        <v>255</v>
      </c>
      <c r="B176" s="99" t="s">
        <v>491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221</v>
      </c>
      <c r="C178" s="95"/>
      <c r="D178" s="95"/>
      <c r="E178" s="95"/>
    </row>
    <row r="179" spans="1:5" x14ac:dyDescent="0.25">
      <c r="A179" s="97" t="s">
        <v>150</v>
      </c>
      <c r="B179" s="99" t="s">
        <v>492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5" t="s">
        <v>493</v>
      </c>
      <c r="B181" s="235"/>
      <c r="C181" s="95"/>
      <c r="D181" s="95"/>
      <c r="E181" s="95"/>
    </row>
    <row r="182" spans="1:5" x14ac:dyDescent="0.25">
      <c r="A182" s="232" t="s">
        <v>494</v>
      </c>
      <c r="B182" s="233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222</v>
      </c>
      <c r="C184" s="95"/>
      <c r="D184" s="95"/>
      <c r="E184" s="95"/>
    </row>
    <row r="185" spans="1:5" x14ac:dyDescent="0.25">
      <c r="A185" s="97" t="s">
        <v>150</v>
      </c>
      <c r="B185" s="99" t="s">
        <v>495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391</v>
      </c>
      <c r="B187" s="99" t="s">
        <v>496</v>
      </c>
      <c r="C187" s="95"/>
      <c r="D187" s="95"/>
      <c r="E187" s="95"/>
    </row>
    <row r="188" spans="1:5" x14ac:dyDescent="0.25">
      <c r="A188" s="102" t="s">
        <v>171</v>
      </c>
      <c r="B188" s="99" t="s">
        <v>497</v>
      </c>
      <c r="C188" s="95"/>
      <c r="D188" s="95"/>
      <c r="E188" s="95"/>
    </row>
    <row r="189" spans="1:5" x14ac:dyDescent="0.25">
      <c r="A189" s="102" t="s">
        <v>172</v>
      </c>
      <c r="B189" s="98" t="s">
        <v>498</v>
      </c>
      <c r="C189" s="95"/>
      <c r="D189" s="95"/>
      <c r="E189" s="95"/>
    </row>
    <row r="190" spans="1:5" x14ac:dyDescent="0.25">
      <c r="A190" s="102" t="s">
        <v>173</v>
      </c>
      <c r="B190" s="98" t="s">
        <v>499</v>
      </c>
      <c r="C190" s="95"/>
      <c r="D190" s="95"/>
      <c r="E190" s="95"/>
    </row>
    <row r="191" spans="1:5" x14ac:dyDescent="0.25">
      <c r="A191" s="102" t="s">
        <v>174</v>
      </c>
      <c r="B191" s="98" t="s">
        <v>500</v>
      </c>
      <c r="C191" s="95"/>
      <c r="D191" s="95"/>
      <c r="E191" s="95"/>
    </row>
    <row r="192" spans="1:5" x14ac:dyDescent="0.25">
      <c r="A192" s="102" t="s">
        <v>501</v>
      </c>
      <c r="B192" s="98" t="s">
        <v>502</v>
      </c>
      <c r="C192" s="95"/>
      <c r="D192" s="95"/>
      <c r="E192" s="95"/>
    </row>
    <row r="193" spans="1:5" x14ac:dyDescent="0.25">
      <c r="A193" s="102" t="s">
        <v>175</v>
      </c>
      <c r="B193" s="98" t="s">
        <v>503</v>
      </c>
      <c r="C193" s="95"/>
      <c r="D193" s="95"/>
      <c r="E193" s="95"/>
    </row>
    <row r="194" spans="1:5" x14ac:dyDescent="0.25">
      <c r="A194" s="102" t="s">
        <v>176</v>
      </c>
      <c r="B194" s="98" t="s">
        <v>504</v>
      </c>
      <c r="C194" s="95"/>
      <c r="D194" s="95"/>
      <c r="E194" s="95"/>
    </row>
    <row r="195" spans="1:5" x14ac:dyDescent="0.25">
      <c r="A195" s="102" t="s">
        <v>505</v>
      </c>
      <c r="B195" s="98" t="s">
        <v>506</v>
      </c>
      <c r="C195" s="95"/>
      <c r="D195" s="95"/>
      <c r="E195" s="95"/>
    </row>
    <row r="196" spans="1:5" x14ac:dyDescent="0.25">
      <c r="A196" s="102" t="s">
        <v>507</v>
      </c>
      <c r="B196" s="98" t="s">
        <v>508</v>
      </c>
      <c r="C196" s="95"/>
      <c r="D196" s="95"/>
      <c r="E196" s="95"/>
    </row>
    <row r="197" spans="1:5" x14ac:dyDescent="0.25">
      <c r="A197" s="102" t="s">
        <v>509</v>
      </c>
      <c r="B197" s="98" t="s">
        <v>510</v>
      </c>
      <c r="C197" s="95"/>
      <c r="D197" s="95"/>
      <c r="E197" s="95"/>
    </row>
    <row r="198" spans="1:5" x14ac:dyDescent="0.25">
      <c r="A198" s="102">
        <v>3001</v>
      </c>
      <c r="B198" s="99" t="s">
        <v>511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223</v>
      </c>
      <c r="C200" s="95"/>
      <c r="D200" s="95"/>
      <c r="E200" s="95"/>
    </row>
    <row r="201" spans="1:5" x14ac:dyDescent="0.25">
      <c r="A201" s="97" t="s">
        <v>150</v>
      </c>
      <c r="B201" s="99" t="s">
        <v>512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391</v>
      </c>
      <c r="B203" s="99" t="s">
        <v>513</v>
      </c>
      <c r="C203" s="95"/>
      <c r="D203" s="95"/>
      <c r="E203" s="95"/>
    </row>
    <row r="204" spans="1:5" x14ac:dyDescent="0.25">
      <c r="A204" s="102" t="s">
        <v>172</v>
      </c>
      <c r="B204" s="99" t="s">
        <v>514</v>
      </c>
      <c r="C204" s="95"/>
      <c r="D204" s="95"/>
      <c r="E204" s="95"/>
    </row>
    <row r="205" spans="1:5" x14ac:dyDescent="0.25">
      <c r="A205" s="102" t="s">
        <v>396</v>
      </c>
      <c r="B205" s="99" t="s">
        <v>515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516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517</v>
      </c>
      <c r="C207" s="95"/>
      <c r="D207" s="95"/>
      <c r="E207" s="95"/>
    </row>
    <row r="208" spans="1:5" x14ac:dyDescent="0.25">
      <c r="A208" s="102" t="s">
        <v>505</v>
      </c>
      <c r="B208" s="99" t="s">
        <v>518</v>
      </c>
      <c r="C208" s="95"/>
      <c r="D208" s="95"/>
      <c r="E208" s="95"/>
    </row>
    <row r="209" spans="1:5" x14ac:dyDescent="0.25">
      <c r="A209" s="102" t="s">
        <v>507</v>
      </c>
      <c r="B209" s="99" t="s">
        <v>519</v>
      </c>
      <c r="C209" s="95"/>
      <c r="D209" s="95"/>
      <c r="E209" s="95"/>
    </row>
    <row r="210" spans="1:5" x14ac:dyDescent="0.25">
      <c r="A210" s="102" t="s">
        <v>509</v>
      </c>
      <c r="B210" s="99" t="s">
        <v>520</v>
      </c>
      <c r="C210" s="95"/>
      <c r="D210" s="95"/>
      <c r="E210" s="95"/>
    </row>
    <row r="211" spans="1:5" x14ac:dyDescent="0.25">
      <c r="A211" s="102" t="s">
        <v>521</v>
      </c>
      <c r="B211" s="99" t="s">
        <v>522</v>
      </c>
      <c r="C211" s="95"/>
      <c r="D211" s="95"/>
      <c r="E211" s="95"/>
    </row>
    <row r="212" spans="1:5" x14ac:dyDescent="0.25">
      <c r="A212" s="102">
        <v>2007</v>
      </c>
      <c r="B212" s="99" t="s">
        <v>523</v>
      </c>
      <c r="C212" s="95"/>
      <c r="D212" s="95"/>
      <c r="E212" s="95"/>
    </row>
    <row r="213" spans="1:5" x14ac:dyDescent="0.25">
      <c r="A213" s="102">
        <v>2010</v>
      </c>
      <c r="B213" s="99" t="s">
        <v>524</v>
      </c>
      <c r="C213" s="95"/>
      <c r="D213" s="95"/>
      <c r="E213" s="95"/>
    </row>
    <row r="214" spans="1:5" x14ac:dyDescent="0.25">
      <c r="A214" s="102" t="s">
        <v>525</v>
      </c>
      <c r="B214" s="99" t="s">
        <v>526</v>
      </c>
      <c r="C214" s="95"/>
      <c r="D214" s="95"/>
      <c r="E214" s="95"/>
    </row>
    <row r="215" spans="1:5" x14ac:dyDescent="0.25">
      <c r="A215" s="102" t="s">
        <v>527</v>
      </c>
      <c r="B215" s="99" t="s">
        <v>528</v>
      </c>
      <c r="C215" s="95"/>
      <c r="D215" s="95"/>
      <c r="E215" s="95"/>
    </row>
    <row r="216" spans="1:5" x14ac:dyDescent="0.25">
      <c r="A216" s="102" t="s">
        <v>529</v>
      </c>
      <c r="B216" s="99" t="s">
        <v>530</v>
      </c>
      <c r="C216" s="95"/>
      <c r="D216" s="95"/>
      <c r="E216" s="95"/>
    </row>
    <row r="217" spans="1:5" x14ac:dyDescent="0.25">
      <c r="A217" s="102" t="s">
        <v>531</v>
      </c>
      <c r="B217" s="99" t="s">
        <v>532</v>
      </c>
      <c r="C217" s="95"/>
      <c r="D217" s="95"/>
      <c r="E217" s="95"/>
    </row>
    <row r="218" spans="1:5" x14ac:dyDescent="0.25">
      <c r="A218" s="102" t="s">
        <v>533</v>
      </c>
      <c r="B218" s="99" t="s">
        <v>534</v>
      </c>
      <c r="C218" s="95"/>
      <c r="D218" s="95"/>
      <c r="E218" s="95"/>
    </row>
    <row r="219" spans="1:5" x14ac:dyDescent="0.25">
      <c r="A219" s="102" t="s">
        <v>535</v>
      </c>
      <c r="B219" s="99" t="s">
        <v>536</v>
      </c>
      <c r="C219" s="95"/>
      <c r="D219" s="95"/>
      <c r="E219" s="95"/>
    </row>
    <row r="220" spans="1:5" x14ac:dyDescent="0.25">
      <c r="A220" s="102" t="s">
        <v>537</v>
      </c>
      <c r="B220" s="99" t="s">
        <v>538</v>
      </c>
      <c r="C220" s="95"/>
      <c r="D220" s="95"/>
      <c r="E220" s="95"/>
    </row>
    <row r="221" spans="1:5" x14ac:dyDescent="0.25">
      <c r="A221" s="102" t="s">
        <v>539</v>
      </c>
      <c r="B221" s="99" t="s">
        <v>540</v>
      </c>
      <c r="C221" s="95"/>
      <c r="D221" s="95"/>
      <c r="E221" s="95"/>
    </row>
    <row r="222" spans="1:5" x14ac:dyDescent="0.25">
      <c r="A222" s="102" t="s">
        <v>541</v>
      </c>
      <c r="B222" s="99" t="s">
        <v>542</v>
      </c>
      <c r="C222" s="95"/>
      <c r="D222" s="95"/>
      <c r="E222" s="95"/>
    </row>
    <row r="223" spans="1:5" x14ac:dyDescent="0.25">
      <c r="A223" s="102" t="s">
        <v>543</v>
      </c>
      <c r="B223" s="99" t="s">
        <v>544</v>
      </c>
      <c r="C223" s="95"/>
      <c r="D223" s="95"/>
      <c r="E223" s="95"/>
    </row>
    <row r="224" spans="1:5" x14ac:dyDescent="0.25">
      <c r="A224" s="102" t="s">
        <v>545</v>
      </c>
      <c r="B224" s="99" t="s">
        <v>546</v>
      </c>
      <c r="C224" s="95"/>
      <c r="D224" s="95"/>
      <c r="E224" s="95"/>
    </row>
    <row r="225" spans="1:5" x14ac:dyDescent="0.25">
      <c r="A225" s="102" t="s">
        <v>547</v>
      </c>
      <c r="B225" s="99" t="s">
        <v>548</v>
      </c>
      <c r="C225" s="95"/>
      <c r="D225" s="95"/>
      <c r="E225" s="95"/>
    </row>
    <row r="226" spans="1:5" x14ac:dyDescent="0.25">
      <c r="A226" s="102" t="s">
        <v>549</v>
      </c>
      <c r="B226" s="99" t="s">
        <v>550</v>
      </c>
      <c r="C226" s="95"/>
      <c r="D226" s="95"/>
      <c r="E226" s="95"/>
    </row>
    <row r="227" spans="1:5" x14ac:dyDescent="0.25">
      <c r="A227" s="102" t="s">
        <v>551</v>
      </c>
      <c r="B227" s="99" t="s">
        <v>552</v>
      </c>
      <c r="C227" s="95"/>
      <c r="D227" s="95"/>
      <c r="E227" s="95"/>
    </row>
    <row r="228" spans="1:5" x14ac:dyDescent="0.25">
      <c r="A228" s="102" t="s">
        <v>553</v>
      </c>
      <c r="B228" s="99" t="s">
        <v>554</v>
      </c>
      <c r="C228" s="95"/>
      <c r="D228" s="95"/>
      <c r="E228" s="95"/>
    </row>
    <row r="229" spans="1:5" x14ac:dyDescent="0.25">
      <c r="A229" s="102" t="s">
        <v>555</v>
      </c>
      <c r="B229" s="99" t="s">
        <v>556</v>
      </c>
      <c r="C229" s="95"/>
      <c r="D229" s="95"/>
      <c r="E229" s="95"/>
    </row>
    <row r="230" spans="1:5" x14ac:dyDescent="0.25">
      <c r="A230" s="102" t="s">
        <v>557</v>
      </c>
      <c r="B230" s="99" t="s">
        <v>558</v>
      </c>
      <c r="C230" s="95"/>
      <c r="D230" s="95"/>
      <c r="E230" s="95"/>
    </row>
    <row r="231" spans="1:5" x14ac:dyDescent="0.25">
      <c r="A231" s="102" t="s">
        <v>559</v>
      </c>
      <c r="B231" s="99" t="s">
        <v>560</v>
      </c>
      <c r="C231" s="95"/>
      <c r="D231" s="95"/>
      <c r="E231" s="95"/>
    </row>
    <row r="232" spans="1:5" x14ac:dyDescent="0.25">
      <c r="A232" s="102" t="s">
        <v>561</v>
      </c>
      <c r="B232" s="99" t="s">
        <v>562</v>
      </c>
      <c r="C232" s="95"/>
      <c r="D232" s="95"/>
      <c r="E232" s="95"/>
    </row>
    <row r="233" spans="1:5" x14ac:dyDescent="0.25">
      <c r="A233" s="102" t="s">
        <v>563</v>
      </c>
      <c r="B233" s="99" t="s">
        <v>564</v>
      </c>
      <c r="C233" s="95"/>
      <c r="D233" s="95"/>
      <c r="E233" s="95"/>
    </row>
    <row r="234" spans="1:5" x14ac:dyDescent="0.25">
      <c r="A234" s="102" t="s">
        <v>565</v>
      </c>
      <c r="B234" s="99" t="s">
        <v>566</v>
      </c>
      <c r="C234" s="95"/>
      <c r="D234" s="95"/>
      <c r="E234" s="95"/>
    </row>
    <row r="235" spans="1:5" x14ac:dyDescent="0.25">
      <c r="A235" s="102" t="s">
        <v>567</v>
      </c>
      <c r="B235" s="99" t="s">
        <v>568</v>
      </c>
      <c r="C235" s="95"/>
      <c r="D235" s="95"/>
      <c r="E235" s="95"/>
    </row>
    <row r="236" spans="1:5" x14ac:dyDescent="0.25">
      <c r="A236" s="102" t="s">
        <v>569</v>
      </c>
      <c r="B236" s="99" t="s">
        <v>570</v>
      </c>
      <c r="C236" s="95"/>
      <c r="D236" s="95"/>
      <c r="E236" s="95"/>
    </row>
    <row r="237" spans="1:5" x14ac:dyDescent="0.25">
      <c r="A237" s="102" t="s">
        <v>571</v>
      </c>
      <c r="B237" s="99" t="s">
        <v>572</v>
      </c>
      <c r="C237" s="95"/>
      <c r="D237" s="95"/>
      <c r="E237" s="95"/>
    </row>
    <row r="238" spans="1:5" x14ac:dyDescent="0.25">
      <c r="A238" s="102" t="s">
        <v>573</v>
      </c>
      <c r="B238" s="99" t="s">
        <v>574</v>
      </c>
      <c r="C238" s="95"/>
      <c r="D238" s="95"/>
      <c r="E238" s="95"/>
    </row>
    <row r="239" spans="1:5" x14ac:dyDescent="0.25">
      <c r="A239" s="102" t="s">
        <v>575</v>
      </c>
      <c r="B239" s="99" t="s">
        <v>576</v>
      </c>
      <c r="C239" s="95"/>
      <c r="D239" s="95"/>
      <c r="E239" s="95"/>
    </row>
    <row r="240" spans="1:5" x14ac:dyDescent="0.25">
      <c r="A240" s="102" t="s">
        <v>577</v>
      </c>
      <c r="B240" s="99" t="s">
        <v>578</v>
      </c>
      <c r="C240" s="95"/>
      <c r="D240" s="95"/>
      <c r="E240" s="95"/>
    </row>
    <row r="241" spans="1:5" x14ac:dyDescent="0.25">
      <c r="A241" s="102" t="s">
        <v>579</v>
      </c>
      <c r="B241" s="99" t="s">
        <v>580</v>
      </c>
      <c r="C241" s="95"/>
      <c r="D241" s="95"/>
      <c r="E241" s="95"/>
    </row>
    <row r="242" spans="1:5" x14ac:dyDescent="0.25">
      <c r="A242" s="102" t="s">
        <v>581</v>
      </c>
      <c r="B242" s="99" t="s">
        <v>582</v>
      </c>
      <c r="C242" s="95"/>
      <c r="D242" s="95"/>
      <c r="E242" s="95"/>
    </row>
    <row r="243" spans="1:5" x14ac:dyDescent="0.25">
      <c r="A243" s="102" t="s">
        <v>583</v>
      </c>
      <c r="B243" s="99" t="s">
        <v>584</v>
      </c>
      <c r="C243" s="95"/>
      <c r="D243" s="95"/>
      <c r="E243" s="95"/>
    </row>
    <row r="244" spans="1:5" x14ac:dyDescent="0.25">
      <c r="A244" s="102" t="s">
        <v>585</v>
      </c>
      <c r="B244" s="99" t="s">
        <v>586</v>
      </c>
      <c r="C244" s="95"/>
      <c r="D244" s="95"/>
      <c r="E244" s="95"/>
    </row>
    <row r="245" spans="1:5" x14ac:dyDescent="0.25">
      <c r="A245" s="102" t="s">
        <v>587</v>
      </c>
      <c r="B245" s="99" t="s">
        <v>588</v>
      </c>
      <c r="C245" s="95"/>
      <c r="D245" s="95"/>
      <c r="E245" s="95"/>
    </row>
    <row r="246" spans="1:5" x14ac:dyDescent="0.25">
      <c r="A246" s="102">
        <v>7000</v>
      </c>
      <c r="B246" s="99" t="s">
        <v>589</v>
      </c>
      <c r="C246" s="95"/>
      <c r="D246" s="95"/>
      <c r="E246" s="95"/>
    </row>
    <row r="247" spans="1:5" x14ac:dyDescent="0.25">
      <c r="A247" s="102">
        <v>7001</v>
      </c>
      <c r="B247" s="99" t="s">
        <v>590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224</v>
      </c>
      <c r="C249" s="95"/>
      <c r="D249" s="95"/>
      <c r="E249" s="95"/>
    </row>
    <row r="250" spans="1:5" x14ac:dyDescent="0.25">
      <c r="A250" s="97" t="s">
        <v>150</v>
      </c>
      <c r="B250" s="99" t="s">
        <v>591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592</v>
      </c>
      <c r="C252" s="95"/>
      <c r="D252" s="95"/>
      <c r="E252" s="95"/>
    </row>
    <row r="253" spans="1:5" x14ac:dyDescent="0.25">
      <c r="A253" s="102" t="s">
        <v>214</v>
      </c>
      <c r="B253" s="99" t="s">
        <v>593</v>
      </c>
      <c r="C253" s="95"/>
      <c r="D253" s="95"/>
      <c r="E253" s="95"/>
    </row>
    <row r="254" spans="1:5" x14ac:dyDescent="0.25">
      <c r="A254" s="125" t="s">
        <v>36</v>
      </c>
      <c r="B254" s="126" t="s">
        <v>594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225</v>
      </c>
      <c r="C256" s="95"/>
      <c r="D256" s="95"/>
      <c r="E256" s="95"/>
    </row>
    <row r="257" spans="1:5" x14ac:dyDescent="0.25">
      <c r="A257" s="97" t="s">
        <v>150</v>
      </c>
      <c r="B257" s="99" t="s">
        <v>595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596</v>
      </c>
      <c r="C259" s="95"/>
      <c r="D259" s="95"/>
      <c r="E259" s="95"/>
    </row>
    <row r="260" spans="1:5" x14ac:dyDescent="0.25">
      <c r="A260" s="127" t="s">
        <v>214</v>
      </c>
      <c r="B260" s="129" t="s">
        <v>597</v>
      </c>
      <c r="C260" s="95"/>
      <c r="D260" s="95"/>
      <c r="E260" s="95"/>
    </row>
    <row r="261" spans="1:5" x14ac:dyDescent="0.25">
      <c r="A261" s="127" t="s">
        <v>36</v>
      </c>
      <c r="B261" s="128" t="s">
        <v>598</v>
      </c>
      <c r="C261" s="95"/>
      <c r="D261" s="95"/>
      <c r="E261" s="95"/>
    </row>
    <row r="262" spans="1:5" x14ac:dyDescent="0.25">
      <c r="A262" s="127" t="s">
        <v>215</v>
      </c>
      <c r="B262" s="128" t="s">
        <v>599</v>
      </c>
      <c r="C262" s="95"/>
      <c r="D262" s="95"/>
      <c r="E262" s="95"/>
    </row>
    <row r="263" spans="1:5" x14ac:dyDescent="0.25">
      <c r="A263" s="127" t="s">
        <v>339</v>
      </c>
      <c r="B263" s="128" t="s">
        <v>600</v>
      </c>
      <c r="C263" s="95"/>
      <c r="D263" s="95"/>
      <c r="E263" s="95"/>
    </row>
    <row r="264" spans="1:5" x14ac:dyDescent="0.25">
      <c r="A264" s="127" t="s">
        <v>99</v>
      </c>
      <c r="B264" s="128" t="s">
        <v>601</v>
      </c>
      <c r="C264" s="95"/>
      <c r="D264" s="95"/>
      <c r="E264" s="95"/>
    </row>
    <row r="265" spans="1:5" x14ac:dyDescent="0.25">
      <c r="A265" s="127" t="s">
        <v>68</v>
      </c>
      <c r="B265" s="128" t="s">
        <v>602</v>
      </c>
      <c r="C265" s="95"/>
      <c r="D265" s="95"/>
      <c r="E265" s="95"/>
    </row>
    <row r="266" spans="1:5" x14ac:dyDescent="0.25">
      <c r="A266" s="127" t="s">
        <v>343</v>
      </c>
      <c r="B266" s="128" t="s">
        <v>603</v>
      </c>
      <c r="C266" s="95"/>
      <c r="D266" s="95"/>
      <c r="E266" s="95"/>
    </row>
    <row r="267" spans="1:5" x14ac:dyDescent="0.25">
      <c r="A267" s="127" t="s">
        <v>107</v>
      </c>
      <c r="B267" s="128" t="s">
        <v>604</v>
      </c>
      <c r="C267" s="95"/>
      <c r="D267" s="95"/>
      <c r="E267" s="95"/>
    </row>
    <row r="268" spans="1:5" x14ac:dyDescent="0.25">
      <c r="A268" s="127" t="s">
        <v>219</v>
      </c>
      <c r="B268" s="128" t="s">
        <v>605</v>
      </c>
      <c r="C268" s="95"/>
      <c r="D268" s="95"/>
      <c r="E268" s="95"/>
    </row>
    <row r="269" spans="1:5" x14ac:dyDescent="0.25">
      <c r="A269" s="127">
        <v>12</v>
      </c>
      <c r="B269" s="129" t="s">
        <v>606</v>
      </c>
      <c r="C269" s="95"/>
      <c r="D269" s="95"/>
      <c r="E269" s="95"/>
    </row>
    <row r="270" spans="1:5" x14ac:dyDescent="0.25">
      <c r="A270" s="127">
        <v>13</v>
      </c>
      <c r="B270" s="129" t="s">
        <v>607</v>
      </c>
      <c r="C270" s="95"/>
      <c r="D270" s="95"/>
      <c r="E270" s="95"/>
    </row>
    <row r="271" spans="1:5" x14ac:dyDescent="0.25">
      <c r="A271" s="127">
        <v>14</v>
      </c>
      <c r="B271" s="130" t="s">
        <v>608</v>
      </c>
      <c r="C271" s="95"/>
      <c r="D271" s="95"/>
      <c r="E271" s="95"/>
    </row>
    <row r="272" spans="1:5" x14ac:dyDescent="0.25">
      <c r="A272" s="127">
        <v>15</v>
      </c>
      <c r="B272" s="130" t="s">
        <v>609</v>
      </c>
      <c r="C272" s="95"/>
      <c r="D272" s="95"/>
      <c r="E272" s="95"/>
    </row>
    <row r="273" spans="1:5" x14ac:dyDescent="0.25">
      <c r="A273" s="127">
        <v>16</v>
      </c>
      <c r="B273" s="131" t="s">
        <v>610</v>
      </c>
      <c r="C273" s="95"/>
      <c r="D273" s="95"/>
      <c r="E273" s="95"/>
    </row>
    <row r="274" spans="1:5" x14ac:dyDescent="0.25">
      <c r="A274" s="127">
        <v>17</v>
      </c>
      <c r="B274" s="131" t="s">
        <v>611</v>
      </c>
      <c r="C274" s="95"/>
      <c r="D274" s="95"/>
      <c r="E274" s="95"/>
    </row>
    <row r="275" spans="1:5" x14ac:dyDescent="0.25">
      <c r="A275" s="127">
        <v>18</v>
      </c>
      <c r="B275" s="131" t="s">
        <v>612</v>
      </c>
      <c r="C275" s="95"/>
      <c r="D275" s="95"/>
      <c r="E275" s="95"/>
    </row>
    <row r="276" spans="1:5" x14ac:dyDescent="0.25">
      <c r="A276" s="127">
        <v>19</v>
      </c>
      <c r="B276" s="131" t="s">
        <v>613</v>
      </c>
      <c r="C276" s="95"/>
      <c r="D276" s="95"/>
      <c r="E276" s="95"/>
    </row>
    <row r="277" spans="1:5" ht="25.5" x14ac:dyDescent="0.25">
      <c r="A277" s="127">
        <v>20</v>
      </c>
      <c r="B277" s="132" t="s">
        <v>614</v>
      </c>
      <c r="C277" s="95"/>
      <c r="D277" s="95"/>
      <c r="E277" s="95"/>
    </row>
    <row r="278" spans="1:5" x14ac:dyDescent="0.25">
      <c r="A278" s="127">
        <v>21</v>
      </c>
      <c r="B278" s="131" t="s">
        <v>615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226</v>
      </c>
      <c r="C280" s="95"/>
      <c r="D280" s="95"/>
      <c r="E280" s="95"/>
    </row>
    <row r="281" spans="1:5" x14ac:dyDescent="0.25">
      <c r="A281" s="97" t="s">
        <v>150</v>
      </c>
      <c r="B281" s="99" t="s">
        <v>616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617</v>
      </c>
      <c r="C283" s="95"/>
      <c r="D283" s="95"/>
      <c r="E283" s="95"/>
    </row>
    <row r="284" spans="1:5" x14ac:dyDescent="0.25">
      <c r="A284" s="102" t="s">
        <v>214</v>
      </c>
      <c r="B284" s="99" t="s">
        <v>618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227</v>
      </c>
      <c r="C286" s="95"/>
      <c r="D286" s="95"/>
      <c r="E286" s="95"/>
    </row>
    <row r="287" spans="1:5" x14ac:dyDescent="0.25">
      <c r="A287" s="97" t="s">
        <v>150</v>
      </c>
      <c r="B287" s="99" t="s">
        <v>619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620</v>
      </c>
      <c r="C289" s="95"/>
      <c r="D289" s="95"/>
      <c r="E289" s="95"/>
    </row>
    <row r="290" spans="1:5" x14ac:dyDescent="0.25">
      <c r="A290" s="102" t="s">
        <v>103</v>
      </c>
      <c r="B290" s="99" t="s">
        <v>621</v>
      </c>
      <c r="C290" s="95"/>
      <c r="D290" s="95"/>
      <c r="E290" s="95"/>
    </row>
    <row r="291" spans="1:5" x14ac:dyDescent="0.25">
      <c r="A291" s="102">
        <v>3</v>
      </c>
      <c r="B291" s="99" t="s">
        <v>622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228</v>
      </c>
      <c r="C293" s="95"/>
      <c r="D293" s="95"/>
      <c r="E293" s="95"/>
    </row>
    <row r="294" spans="1:5" x14ac:dyDescent="0.25">
      <c r="A294" s="97" t="s">
        <v>150</v>
      </c>
      <c r="B294" s="99" t="s">
        <v>623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624</v>
      </c>
      <c r="C296" s="95"/>
      <c r="D296" s="95"/>
      <c r="E296" s="95"/>
    </row>
    <row r="297" spans="1:5" x14ac:dyDescent="0.25">
      <c r="A297" s="102" t="s">
        <v>214</v>
      </c>
      <c r="B297" s="133" t="s">
        <v>625</v>
      </c>
      <c r="C297" s="95"/>
      <c r="D297" s="95"/>
      <c r="E297" s="95"/>
    </row>
    <row r="298" spans="1:5" x14ac:dyDescent="0.25">
      <c r="A298" s="102" t="s">
        <v>36</v>
      </c>
      <c r="B298" s="133" t="s">
        <v>626</v>
      </c>
      <c r="C298" s="95"/>
      <c r="D298" s="95"/>
      <c r="E298" s="95"/>
    </row>
    <row r="299" spans="1:5" x14ac:dyDescent="0.25">
      <c r="A299" s="102" t="s">
        <v>215</v>
      </c>
      <c r="B299" s="133" t="s">
        <v>627</v>
      </c>
      <c r="C299" s="95"/>
      <c r="D299" s="95"/>
      <c r="E299" s="95"/>
    </row>
    <row r="300" spans="1:5" x14ac:dyDescent="0.25">
      <c r="A300" s="102" t="s">
        <v>339</v>
      </c>
      <c r="B300" s="133" t="s">
        <v>628</v>
      </c>
      <c r="C300" s="95"/>
      <c r="D300" s="95"/>
      <c r="E300" s="95"/>
    </row>
    <row r="301" spans="1:5" x14ac:dyDescent="0.25">
      <c r="A301" s="102" t="s">
        <v>99</v>
      </c>
      <c r="B301" s="133" t="s">
        <v>629</v>
      </c>
      <c r="C301" s="95"/>
      <c r="D301" s="95"/>
      <c r="E301" s="95"/>
    </row>
    <row r="302" spans="1:5" x14ac:dyDescent="0.25">
      <c r="A302" s="102" t="s">
        <v>68</v>
      </c>
      <c r="B302" s="133" t="s">
        <v>630</v>
      </c>
      <c r="C302" s="95"/>
      <c r="D302" s="95"/>
      <c r="E302" s="95"/>
    </row>
    <row r="303" spans="1:5" x14ac:dyDescent="0.25">
      <c r="A303" s="102" t="s">
        <v>343</v>
      </c>
      <c r="B303" s="133" t="s">
        <v>631</v>
      </c>
      <c r="C303" s="95"/>
      <c r="D303" s="95"/>
      <c r="E303" s="95"/>
    </row>
    <row r="304" spans="1:5" x14ac:dyDescent="0.25">
      <c r="A304" s="102" t="s">
        <v>345</v>
      </c>
      <c r="B304" s="133" t="s">
        <v>405</v>
      </c>
      <c r="C304" s="95"/>
      <c r="D304" s="95"/>
      <c r="E304" s="95"/>
    </row>
    <row r="305" spans="1:5" x14ac:dyDescent="0.25">
      <c r="A305" s="102" t="s">
        <v>221</v>
      </c>
      <c r="B305" s="133" t="s">
        <v>491</v>
      </c>
      <c r="C305" s="95"/>
      <c r="D305" s="95"/>
      <c r="E305" s="95"/>
    </row>
    <row r="306" spans="1:5" x14ac:dyDescent="0.25">
      <c r="A306" s="102" t="s">
        <v>222</v>
      </c>
      <c r="B306" s="133" t="s">
        <v>632</v>
      </c>
      <c r="C306" s="95"/>
      <c r="D306" s="95"/>
      <c r="E306" s="95"/>
    </row>
    <row r="307" spans="1:5" x14ac:dyDescent="0.25">
      <c r="A307" s="127">
        <v>17</v>
      </c>
      <c r="B307" s="133" t="s">
        <v>633</v>
      </c>
      <c r="C307" s="95"/>
      <c r="D307" s="95"/>
      <c r="E307" s="95"/>
    </row>
    <row r="308" spans="1:5" x14ac:dyDescent="0.25">
      <c r="A308" s="102" t="s">
        <v>226</v>
      </c>
      <c r="B308" s="133" t="s">
        <v>634</v>
      </c>
      <c r="C308" s="95"/>
      <c r="D308" s="95"/>
      <c r="E308" s="95"/>
    </row>
    <row r="309" spans="1:5" x14ac:dyDescent="0.25">
      <c r="A309" s="134" t="s">
        <v>227</v>
      </c>
      <c r="B309" s="135" t="s">
        <v>635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229</v>
      </c>
      <c r="C311" s="95"/>
      <c r="D311" s="95"/>
      <c r="E311" s="95"/>
    </row>
    <row r="312" spans="1:5" x14ac:dyDescent="0.25">
      <c r="A312" s="97" t="s">
        <v>150</v>
      </c>
      <c r="B312" s="99" t="s">
        <v>636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637</v>
      </c>
      <c r="C314" s="95"/>
      <c r="D314" s="95"/>
      <c r="E314" s="95"/>
    </row>
    <row r="315" spans="1:5" x14ac:dyDescent="0.25">
      <c r="A315" s="102" t="s">
        <v>214</v>
      </c>
      <c r="B315" s="99" t="s">
        <v>638</v>
      </c>
      <c r="C315" s="95"/>
      <c r="D315" s="95"/>
      <c r="E315" s="95"/>
    </row>
    <row r="316" spans="1:5" x14ac:dyDescent="0.25">
      <c r="A316" s="102" t="s">
        <v>36</v>
      </c>
      <c r="B316" s="99" t="s">
        <v>639</v>
      </c>
      <c r="C316" s="95"/>
      <c r="D316" s="95"/>
      <c r="E316" s="95"/>
    </row>
    <row r="317" spans="1:5" x14ac:dyDescent="0.25">
      <c r="A317" s="102" t="s">
        <v>215</v>
      </c>
      <c r="B317" s="99" t="s">
        <v>640</v>
      </c>
      <c r="C317" s="95"/>
      <c r="D317" s="95"/>
      <c r="E317" s="95"/>
    </row>
    <row r="318" spans="1:5" x14ac:dyDescent="0.25">
      <c r="A318" s="102" t="s">
        <v>339</v>
      </c>
      <c r="B318" s="99" t="s">
        <v>641</v>
      </c>
      <c r="C318" s="95"/>
      <c r="D318" s="95"/>
      <c r="E318" s="95"/>
    </row>
    <row r="319" spans="1:5" x14ac:dyDescent="0.25">
      <c r="A319" s="102" t="s">
        <v>99</v>
      </c>
      <c r="B319" s="99" t="s">
        <v>491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9" t="s">
        <v>230</v>
      </c>
      <c r="C321" s="239"/>
      <c r="D321" s="95"/>
      <c r="E321" s="95"/>
    </row>
    <row r="322" spans="1:5" x14ac:dyDescent="0.25">
      <c r="A322" s="97" t="s">
        <v>150</v>
      </c>
      <c r="B322" s="240" t="s">
        <v>642</v>
      </c>
      <c r="C322" s="240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643</v>
      </c>
      <c r="D323" s="95"/>
      <c r="E323" s="95"/>
    </row>
    <row r="324" spans="1:5" x14ac:dyDescent="0.25">
      <c r="A324" s="102" t="s">
        <v>98</v>
      </c>
      <c r="B324" s="99" t="s">
        <v>644</v>
      </c>
      <c r="C324" s="136">
        <v>2</v>
      </c>
      <c r="D324" s="95"/>
      <c r="E324" s="95"/>
    </row>
    <row r="325" spans="1:5" x14ac:dyDescent="0.25">
      <c r="A325" s="102" t="s">
        <v>214</v>
      </c>
      <c r="B325" s="99" t="s">
        <v>645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646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231</v>
      </c>
      <c r="C329" s="95"/>
      <c r="D329" s="95"/>
      <c r="E329" s="95"/>
    </row>
    <row r="330" spans="1:5" x14ac:dyDescent="0.25">
      <c r="A330" s="97" t="s">
        <v>150</v>
      </c>
      <c r="B330" s="99" t="s">
        <v>647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648</v>
      </c>
      <c r="C332" s="95"/>
      <c r="D332" s="95"/>
      <c r="E332" s="95"/>
    </row>
    <row r="333" spans="1:5" x14ac:dyDescent="0.25">
      <c r="A333" s="102" t="s">
        <v>214</v>
      </c>
      <c r="B333" s="98" t="s">
        <v>649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232</v>
      </c>
      <c r="C336" s="143"/>
      <c r="D336" s="95"/>
      <c r="E336" s="95"/>
    </row>
    <row r="337" spans="1:5" x14ac:dyDescent="0.25">
      <c r="A337" s="141" t="s">
        <v>150</v>
      </c>
      <c r="B337" s="144" t="s">
        <v>650</v>
      </c>
      <c r="C337" s="143"/>
      <c r="D337" s="95"/>
      <c r="E337" s="95"/>
    </row>
    <row r="338" spans="1:5" x14ac:dyDescent="0.25">
      <c r="A338" s="145" t="s">
        <v>651</v>
      </c>
      <c r="B338" s="146" t="s">
        <v>152</v>
      </c>
      <c r="C338" s="146" t="s">
        <v>652</v>
      </c>
      <c r="D338" s="95"/>
      <c r="E338" s="95"/>
    </row>
    <row r="339" spans="1:5" x14ac:dyDescent="0.25">
      <c r="A339" s="147" t="s">
        <v>653</v>
      </c>
      <c r="B339" s="144" t="s">
        <v>654</v>
      </c>
      <c r="C339" s="148" t="s">
        <v>655</v>
      </c>
      <c r="D339" s="95"/>
      <c r="E339" s="95"/>
    </row>
    <row r="340" spans="1:5" x14ac:dyDescent="0.25">
      <c r="A340" s="147" t="s">
        <v>656</v>
      </c>
      <c r="B340" s="144" t="s">
        <v>657</v>
      </c>
      <c r="C340" s="148" t="s">
        <v>655</v>
      </c>
      <c r="D340" s="95"/>
      <c r="E340" s="95"/>
    </row>
    <row r="341" spans="1:5" x14ac:dyDescent="0.25">
      <c r="A341" s="147" t="s">
        <v>658</v>
      </c>
      <c r="B341" s="144" t="s">
        <v>659</v>
      </c>
      <c r="C341" s="148" t="s">
        <v>655</v>
      </c>
      <c r="D341" s="95"/>
      <c r="E341" s="95"/>
    </row>
    <row r="342" spans="1:5" x14ac:dyDescent="0.25">
      <c r="A342" s="147" t="s">
        <v>660</v>
      </c>
      <c r="B342" s="144" t="s">
        <v>661</v>
      </c>
      <c r="C342" s="148" t="s">
        <v>655</v>
      </c>
      <c r="D342" s="95"/>
      <c r="E342" s="95"/>
    </row>
    <row r="343" spans="1:5" x14ac:dyDescent="0.25">
      <c r="A343" s="147" t="s">
        <v>662</v>
      </c>
      <c r="B343" s="144" t="s">
        <v>663</v>
      </c>
      <c r="C343" s="148" t="s">
        <v>655</v>
      </c>
      <c r="D343" s="95"/>
      <c r="E343" s="95"/>
    </row>
    <row r="344" spans="1:5" x14ac:dyDescent="0.25">
      <c r="A344" s="147" t="s">
        <v>664</v>
      </c>
      <c r="B344" s="144" t="s">
        <v>665</v>
      </c>
      <c r="C344" s="148" t="s">
        <v>655</v>
      </c>
      <c r="D344" s="95"/>
      <c r="E344" s="95"/>
    </row>
    <row r="345" spans="1:5" x14ac:dyDescent="0.25">
      <c r="A345" s="147" t="s">
        <v>666</v>
      </c>
      <c r="B345" s="144" t="s">
        <v>667</v>
      </c>
      <c r="C345" s="148" t="s">
        <v>655</v>
      </c>
      <c r="D345" s="95"/>
      <c r="E345" s="95"/>
    </row>
    <row r="346" spans="1:5" x14ac:dyDescent="0.25">
      <c r="A346" s="147" t="s">
        <v>668</v>
      </c>
      <c r="B346" s="144" t="s">
        <v>669</v>
      </c>
      <c r="C346" s="148" t="s">
        <v>655</v>
      </c>
      <c r="D346" s="95"/>
      <c r="E346" s="95"/>
    </row>
    <row r="347" spans="1:5" x14ac:dyDescent="0.25">
      <c r="A347" s="147" t="s">
        <v>670</v>
      </c>
      <c r="B347" s="144" t="s">
        <v>671</v>
      </c>
      <c r="C347" s="148" t="s">
        <v>655</v>
      </c>
      <c r="D347" s="95"/>
      <c r="E347" s="95"/>
    </row>
    <row r="348" spans="1:5" x14ac:dyDescent="0.25">
      <c r="A348" s="147" t="s">
        <v>672</v>
      </c>
      <c r="B348" s="144" t="s">
        <v>673</v>
      </c>
      <c r="C348" s="148" t="s">
        <v>655</v>
      </c>
      <c r="D348" s="95"/>
      <c r="E348" s="95"/>
    </row>
    <row r="349" spans="1:5" x14ac:dyDescent="0.25">
      <c r="A349" s="147" t="s">
        <v>674</v>
      </c>
      <c r="B349" s="144" t="s">
        <v>675</v>
      </c>
      <c r="C349" s="149" t="s">
        <v>655</v>
      </c>
      <c r="D349" s="95"/>
      <c r="E349" s="95"/>
    </row>
    <row r="350" spans="1:5" x14ac:dyDescent="0.25">
      <c r="A350" s="147" t="s">
        <v>676</v>
      </c>
      <c r="B350" s="144" t="s">
        <v>677</v>
      </c>
      <c r="C350" s="149" t="s">
        <v>655</v>
      </c>
      <c r="D350" s="95"/>
      <c r="E350" s="95"/>
    </row>
    <row r="351" spans="1:5" x14ac:dyDescent="0.25">
      <c r="A351" s="147" t="s">
        <v>678</v>
      </c>
      <c r="B351" s="144" t="s">
        <v>679</v>
      </c>
      <c r="C351" s="149" t="s">
        <v>655</v>
      </c>
      <c r="D351" s="95"/>
      <c r="E351" s="95"/>
    </row>
    <row r="352" spans="1:5" x14ac:dyDescent="0.25">
      <c r="A352" s="147" t="s">
        <v>680</v>
      </c>
      <c r="B352" s="144" t="s">
        <v>681</v>
      </c>
      <c r="C352" s="149" t="s">
        <v>655</v>
      </c>
      <c r="D352" s="95"/>
      <c r="E352" s="95"/>
    </row>
    <row r="353" spans="1:5" x14ac:dyDescent="0.25">
      <c r="A353" s="147" t="s">
        <v>682</v>
      </c>
      <c r="B353" s="144" t="s">
        <v>683</v>
      </c>
      <c r="C353" s="149" t="s">
        <v>655</v>
      </c>
      <c r="D353" s="95"/>
      <c r="E353" s="95"/>
    </row>
    <row r="354" spans="1:5" x14ac:dyDescent="0.25">
      <c r="A354" s="147" t="s">
        <v>684</v>
      </c>
      <c r="B354" s="144" t="s">
        <v>685</v>
      </c>
      <c r="C354" s="149" t="s">
        <v>655</v>
      </c>
      <c r="D354" s="95"/>
      <c r="E354" s="95"/>
    </row>
    <row r="355" spans="1:5" x14ac:dyDescent="0.25">
      <c r="A355" s="147" t="s">
        <v>686</v>
      </c>
      <c r="B355" s="144" t="s">
        <v>687</v>
      </c>
      <c r="C355" s="149" t="s">
        <v>655</v>
      </c>
      <c r="D355" s="95"/>
      <c r="E355" s="95"/>
    </row>
    <row r="356" spans="1:5" x14ac:dyDescent="0.25">
      <c r="A356" s="147" t="s">
        <v>688</v>
      </c>
      <c r="B356" s="144" t="s">
        <v>689</v>
      </c>
      <c r="C356" s="149" t="s">
        <v>655</v>
      </c>
      <c r="D356" s="95"/>
      <c r="E356" s="95"/>
    </row>
    <row r="357" spans="1:5" x14ac:dyDescent="0.25">
      <c r="A357" s="147" t="s">
        <v>690</v>
      </c>
      <c r="B357" s="144" t="s">
        <v>691</v>
      </c>
      <c r="C357" s="149" t="s">
        <v>655</v>
      </c>
      <c r="D357" s="95"/>
      <c r="E357" s="95"/>
    </row>
    <row r="358" spans="1:5" x14ac:dyDescent="0.25">
      <c r="A358" s="147" t="s">
        <v>692</v>
      </c>
      <c r="B358" s="144" t="s">
        <v>693</v>
      </c>
      <c r="C358" s="149" t="s">
        <v>655</v>
      </c>
      <c r="D358" s="95"/>
      <c r="E358" s="95"/>
    </row>
    <row r="359" spans="1:5" x14ac:dyDescent="0.25">
      <c r="A359" s="147" t="s">
        <v>694</v>
      </c>
      <c r="B359" s="144" t="s">
        <v>695</v>
      </c>
      <c r="C359" s="149" t="s">
        <v>655</v>
      </c>
      <c r="D359" s="95"/>
      <c r="E359" s="95"/>
    </row>
    <row r="360" spans="1:5" x14ac:dyDescent="0.25">
      <c r="A360" s="147" t="s">
        <v>696</v>
      </c>
      <c r="B360" s="144" t="s">
        <v>697</v>
      </c>
      <c r="C360" s="149" t="s">
        <v>698</v>
      </c>
      <c r="D360" s="95"/>
      <c r="E360" s="95"/>
    </row>
    <row r="361" spans="1:5" x14ac:dyDescent="0.25">
      <c r="A361" s="147" t="s">
        <v>699</v>
      </c>
      <c r="B361" s="144" t="s">
        <v>700</v>
      </c>
      <c r="C361" s="149" t="s">
        <v>698</v>
      </c>
      <c r="D361" s="95"/>
      <c r="E361" s="95"/>
    </row>
    <row r="362" spans="1:5" x14ac:dyDescent="0.25">
      <c r="A362" s="147" t="s">
        <v>701</v>
      </c>
      <c r="B362" s="144" t="s">
        <v>702</v>
      </c>
      <c r="C362" s="149" t="s">
        <v>698</v>
      </c>
      <c r="D362" s="95"/>
      <c r="E362" s="95"/>
    </row>
    <row r="363" spans="1:5" x14ac:dyDescent="0.25">
      <c r="A363" s="147" t="s">
        <v>703</v>
      </c>
      <c r="B363" s="144" t="s">
        <v>704</v>
      </c>
      <c r="C363" s="149" t="s">
        <v>698</v>
      </c>
      <c r="D363" s="95"/>
      <c r="E363" s="95"/>
    </row>
    <row r="364" spans="1:5" x14ac:dyDescent="0.25">
      <c r="A364" s="147" t="s">
        <v>705</v>
      </c>
      <c r="B364" s="144" t="s">
        <v>706</v>
      </c>
      <c r="C364" s="149" t="s">
        <v>698</v>
      </c>
      <c r="D364" s="95"/>
      <c r="E364" s="95"/>
    </row>
    <row r="365" spans="1:5" x14ac:dyDescent="0.25">
      <c r="A365" s="147" t="s">
        <v>707</v>
      </c>
      <c r="B365" s="144" t="s">
        <v>708</v>
      </c>
      <c r="C365" s="149" t="s">
        <v>698</v>
      </c>
      <c r="D365" s="95"/>
      <c r="E365" s="95"/>
    </row>
    <row r="366" spans="1:5" x14ac:dyDescent="0.25">
      <c r="A366" s="147" t="s">
        <v>709</v>
      </c>
      <c r="B366" s="144" t="s">
        <v>710</v>
      </c>
      <c r="C366" s="149" t="s">
        <v>698</v>
      </c>
      <c r="D366" s="95"/>
      <c r="E366" s="95"/>
    </row>
    <row r="367" spans="1:5" x14ac:dyDescent="0.25">
      <c r="A367" s="147" t="s">
        <v>711</v>
      </c>
      <c r="B367" s="150" t="s">
        <v>712</v>
      </c>
      <c r="C367" s="147" t="s">
        <v>713</v>
      </c>
      <c r="D367" s="95"/>
      <c r="E367" s="95"/>
    </row>
    <row r="368" spans="1:5" x14ac:dyDescent="0.25">
      <c r="A368" s="147" t="s">
        <v>714</v>
      </c>
      <c r="B368" s="150" t="s">
        <v>715</v>
      </c>
      <c r="C368" s="147" t="s">
        <v>713</v>
      </c>
      <c r="D368" s="95"/>
      <c r="E368" s="95"/>
    </row>
    <row r="369" spans="1:5" x14ac:dyDescent="0.25">
      <c r="A369" s="147" t="s">
        <v>716</v>
      </c>
      <c r="B369" s="150" t="s">
        <v>717</v>
      </c>
      <c r="C369" s="147" t="s">
        <v>713</v>
      </c>
      <c r="D369" s="95"/>
      <c r="E369" s="95"/>
    </row>
    <row r="370" spans="1:5" x14ac:dyDescent="0.25">
      <c r="A370" s="147" t="s">
        <v>718</v>
      </c>
      <c r="B370" s="150" t="s">
        <v>719</v>
      </c>
      <c r="C370" s="147" t="s">
        <v>713</v>
      </c>
      <c r="D370" s="95"/>
      <c r="E370" s="95"/>
    </row>
    <row r="371" spans="1:5" x14ac:dyDescent="0.25">
      <c r="A371" s="147" t="s">
        <v>720</v>
      </c>
      <c r="B371" s="150" t="s">
        <v>721</v>
      </c>
      <c r="C371" s="147" t="s">
        <v>713</v>
      </c>
      <c r="D371" s="95"/>
      <c r="E371" s="95"/>
    </row>
    <row r="372" spans="1:5" x14ac:dyDescent="0.25">
      <c r="A372" s="147" t="s">
        <v>722</v>
      </c>
      <c r="B372" s="150" t="s">
        <v>723</v>
      </c>
      <c r="C372" s="147" t="s">
        <v>713</v>
      </c>
      <c r="D372" s="95"/>
      <c r="E372" s="95"/>
    </row>
    <row r="373" spans="1:5" x14ac:dyDescent="0.25">
      <c r="A373" s="147" t="s">
        <v>724</v>
      </c>
      <c r="B373" s="144" t="s">
        <v>725</v>
      </c>
      <c r="C373" s="147" t="s">
        <v>713</v>
      </c>
      <c r="D373" s="95"/>
      <c r="E373" s="95"/>
    </row>
    <row r="374" spans="1:5" x14ac:dyDescent="0.25">
      <c r="A374" s="147" t="s">
        <v>726</v>
      </c>
      <c r="B374" s="144" t="s">
        <v>727</v>
      </c>
      <c r="C374" s="147" t="s">
        <v>713</v>
      </c>
      <c r="D374" s="95"/>
      <c r="E374" s="95"/>
    </row>
    <row r="375" spans="1:5" x14ac:dyDescent="0.25">
      <c r="A375" s="147" t="s">
        <v>728</v>
      </c>
      <c r="B375" s="144" t="s">
        <v>729</v>
      </c>
      <c r="C375" s="147" t="s">
        <v>713</v>
      </c>
      <c r="D375" s="95"/>
      <c r="E375" s="95"/>
    </row>
    <row r="376" spans="1:5" x14ac:dyDescent="0.25">
      <c r="A376" s="147" t="s">
        <v>730</v>
      </c>
      <c r="B376" s="144" t="s">
        <v>731</v>
      </c>
      <c r="C376" s="147" t="s">
        <v>713</v>
      </c>
      <c r="D376" s="95"/>
      <c r="E376" s="95"/>
    </row>
    <row r="377" spans="1:5" x14ac:dyDescent="0.25">
      <c r="A377" s="147" t="s">
        <v>732</v>
      </c>
      <c r="B377" s="144" t="s">
        <v>733</v>
      </c>
      <c r="C377" s="147" t="s">
        <v>713</v>
      </c>
      <c r="D377" s="95"/>
      <c r="E377" s="95"/>
    </row>
    <row r="378" spans="1:5" x14ac:dyDescent="0.25">
      <c r="A378" s="147" t="s">
        <v>734</v>
      </c>
      <c r="B378" s="144" t="s">
        <v>735</v>
      </c>
      <c r="C378" s="147" t="s">
        <v>713</v>
      </c>
      <c r="D378" s="95"/>
      <c r="E378" s="95"/>
    </row>
    <row r="379" spans="1:5" x14ac:dyDescent="0.25">
      <c r="A379" s="147" t="s">
        <v>736</v>
      </c>
      <c r="B379" s="144" t="s">
        <v>737</v>
      </c>
      <c r="C379" s="147" t="s">
        <v>713</v>
      </c>
      <c r="D379" s="95"/>
      <c r="E379" s="95"/>
    </row>
    <row r="380" spans="1:5" x14ac:dyDescent="0.25">
      <c r="A380" s="147" t="s">
        <v>738</v>
      </c>
      <c r="B380" s="144" t="s">
        <v>739</v>
      </c>
      <c r="C380" s="147" t="s">
        <v>713</v>
      </c>
      <c r="D380" s="95"/>
      <c r="E380" s="95"/>
    </row>
    <row r="381" spans="1:5" x14ac:dyDescent="0.25">
      <c r="A381" s="147" t="s">
        <v>740</v>
      </c>
      <c r="B381" s="144" t="s">
        <v>741</v>
      </c>
      <c r="C381" s="147" t="s">
        <v>713</v>
      </c>
      <c r="D381" s="95"/>
      <c r="E381" s="95"/>
    </row>
    <row r="382" spans="1:5" x14ac:dyDescent="0.25">
      <c r="A382" s="147" t="s">
        <v>742</v>
      </c>
      <c r="B382" s="144" t="s">
        <v>743</v>
      </c>
      <c r="C382" s="147" t="s">
        <v>713</v>
      </c>
      <c r="D382" s="95"/>
      <c r="E382" s="95"/>
    </row>
    <row r="383" spans="1:5" x14ac:dyDescent="0.25">
      <c r="A383" s="147" t="s">
        <v>744</v>
      </c>
      <c r="B383" s="144" t="s">
        <v>745</v>
      </c>
      <c r="C383" s="147" t="s">
        <v>713</v>
      </c>
      <c r="D383" s="95"/>
      <c r="E383" s="95"/>
    </row>
    <row r="384" spans="1:5" x14ac:dyDescent="0.25">
      <c r="A384" s="147" t="s">
        <v>746</v>
      </c>
      <c r="B384" s="144" t="s">
        <v>747</v>
      </c>
      <c r="C384" s="147" t="s">
        <v>713</v>
      </c>
      <c r="D384" s="95"/>
      <c r="E384" s="95"/>
    </row>
    <row r="385" spans="1:5" x14ac:dyDescent="0.25">
      <c r="A385" s="147" t="s">
        <v>748</v>
      </c>
      <c r="B385" s="144" t="s">
        <v>749</v>
      </c>
      <c r="C385" s="147" t="s">
        <v>713</v>
      </c>
      <c r="D385" s="95"/>
      <c r="E385" s="95"/>
    </row>
    <row r="386" spans="1:5" x14ac:dyDescent="0.25">
      <c r="A386" s="147" t="s">
        <v>750</v>
      </c>
      <c r="B386" s="144" t="s">
        <v>751</v>
      </c>
      <c r="C386" s="147" t="s">
        <v>713</v>
      </c>
      <c r="D386" s="95"/>
      <c r="E386" s="95"/>
    </row>
    <row r="387" spans="1:5" x14ac:dyDescent="0.25">
      <c r="A387" s="147" t="s">
        <v>752</v>
      </c>
      <c r="B387" s="144" t="s">
        <v>753</v>
      </c>
      <c r="C387" s="147" t="s">
        <v>713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233</v>
      </c>
      <c r="C390" s="95"/>
      <c r="D390" s="95"/>
      <c r="E390" s="95"/>
    </row>
    <row r="391" spans="1:5" x14ac:dyDescent="0.25">
      <c r="A391" s="97" t="s">
        <v>150</v>
      </c>
      <c r="B391" s="99" t="s">
        <v>754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5" t="s">
        <v>755</v>
      </c>
      <c r="B393" s="235"/>
      <c r="C393" s="95"/>
      <c r="D393" s="95"/>
      <c r="E393" s="95"/>
    </row>
    <row r="394" spans="1:5" x14ac:dyDescent="0.25">
      <c r="A394" s="242" t="s">
        <v>756</v>
      </c>
      <c r="B394" s="236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234</v>
      </c>
      <c r="C396" s="95"/>
      <c r="D396" s="95"/>
      <c r="E396" s="95"/>
    </row>
    <row r="397" spans="1:5" x14ac:dyDescent="0.25">
      <c r="A397" s="97" t="s">
        <v>150</v>
      </c>
      <c r="B397" s="99" t="s">
        <v>757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758</v>
      </c>
      <c r="C399" s="95"/>
      <c r="D399" s="95"/>
      <c r="E399" s="95"/>
    </row>
    <row r="400" spans="1:5" x14ac:dyDescent="0.25">
      <c r="A400" s="154">
        <v>1</v>
      </c>
      <c r="B400" s="155" t="s">
        <v>759</v>
      </c>
      <c r="C400" s="95"/>
      <c r="D400" s="95"/>
      <c r="E400" s="95"/>
    </row>
    <row r="401" spans="1:5" ht="26.25" x14ac:dyDescent="0.25">
      <c r="A401" s="154">
        <v>2</v>
      </c>
      <c r="B401" s="156" t="s">
        <v>760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761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762</v>
      </c>
      <c r="C406" s="95"/>
      <c r="D406" s="95"/>
      <c r="E406" s="95"/>
    </row>
    <row r="407" spans="1:5" x14ac:dyDescent="0.25">
      <c r="A407" s="154">
        <v>1</v>
      </c>
      <c r="B407" s="155" t="s">
        <v>763</v>
      </c>
      <c r="C407" s="95"/>
      <c r="D407" s="95"/>
      <c r="E407" s="95"/>
    </row>
    <row r="408" spans="1:5" x14ac:dyDescent="0.25">
      <c r="A408" s="154">
        <v>2</v>
      </c>
      <c r="B408" s="155" t="s">
        <v>764</v>
      </c>
      <c r="C408" s="95"/>
      <c r="D408" s="95"/>
      <c r="E408" s="95"/>
    </row>
    <row r="409" spans="1:5" ht="26.25" x14ac:dyDescent="0.25">
      <c r="A409" s="154">
        <v>3</v>
      </c>
      <c r="B409" s="156" t="s">
        <v>765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766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767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768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769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767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767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336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767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767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336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767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767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767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767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767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767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338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338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338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767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767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767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767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767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767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767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767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767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767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770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513</v>
      </c>
      <c r="C446" s="95"/>
      <c r="D446" s="165"/>
      <c r="E446" s="166"/>
    </row>
    <row r="447" spans="1:5" x14ac:dyDescent="0.25">
      <c r="A447" s="159">
        <v>1002</v>
      </c>
      <c r="B447" s="168" t="s">
        <v>514</v>
      </c>
      <c r="C447" s="95"/>
      <c r="D447" s="95"/>
      <c r="E447" s="95"/>
    </row>
    <row r="448" spans="1:5" x14ac:dyDescent="0.25">
      <c r="A448" s="159">
        <v>2000</v>
      </c>
      <c r="B448" s="168" t="s">
        <v>515</v>
      </c>
      <c r="C448" s="95"/>
      <c r="D448" s="95"/>
      <c r="E448" s="95"/>
    </row>
    <row r="449" spans="1:5" ht="26.25" x14ac:dyDescent="0.25">
      <c r="A449" s="159">
        <v>2001</v>
      </c>
      <c r="B449" s="103" t="s">
        <v>771</v>
      </c>
      <c r="C449" s="95"/>
      <c r="D449" s="95"/>
      <c r="E449" s="95"/>
    </row>
    <row r="450" spans="1:5" ht="26.25" x14ac:dyDescent="0.25">
      <c r="A450" s="159">
        <v>2002</v>
      </c>
      <c r="B450" s="103" t="s">
        <v>517</v>
      </c>
      <c r="C450" s="95"/>
      <c r="D450" s="95"/>
      <c r="E450" s="95"/>
    </row>
    <row r="451" spans="1:5" x14ac:dyDescent="0.25">
      <c r="A451" s="159">
        <v>2003</v>
      </c>
      <c r="B451" s="168" t="s">
        <v>518</v>
      </c>
      <c r="C451" s="95"/>
      <c r="D451" s="95"/>
      <c r="E451" s="95"/>
    </row>
    <row r="452" spans="1:5" x14ac:dyDescent="0.25">
      <c r="A452" s="159">
        <v>2004</v>
      </c>
      <c r="B452" s="168" t="s">
        <v>519</v>
      </c>
      <c r="C452" s="95"/>
      <c r="D452" s="95"/>
      <c r="E452" s="95"/>
    </row>
    <row r="453" spans="1:5" x14ac:dyDescent="0.25">
      <c r="A453" s="159">
        <v>2005</v>
      </c>
      <c r="B453" s="168" t="s">
        <v>520</v>
      </c>
      <c r="C453" s="95"/>
      <c r="D453" s="95"/>
      <c r="E453" s="95"/>
    </row>
    <row r="454" spans="1:5" x14ac:dyDescent="0.25">
      <c r="A454" s="159">
        <v>2006</v>
      </c>
      <c r="B454" s="168" t="s">
        <v>772</v>
      </c>
      <c r="C454" s="95"/>
      <c r="D454" s="95"/>
      <c r="E454" s="95"/>
    </row>
    <row r="455" spans="1:5" x14ac:dyDescent="0.25">
      <c r="A455" s="159" t="s">
        <v>773</v>
      </c>
      <c r="B455" s="168" t="s">
        <v>774</v>
      </c>
      <c r="C455" s="95"/>
      <c r="D455" s="95"/>
      <c r="E455" s="95"/>
    </row>
    <row r="456" spans="1:5" ht="26.25" x14ac:dyDescent="0.25">
      <c r="A456" s="159">
        <v>2008</v>
      </c>
      <c r="B456" s="103" t="s">
        <v>775</v>
      </c>
      <c r="C456" s="95"/>
      <c r="D456" s="95"/>
      <c r="E456" s="95"/>
    </row>
    <row r="457" spans="1:5" ht="26.25" x14ac:dyDescent="0.25">
      <c r="A457" s="159">
        <v>2009</v>
      </c>
      <c r="B457" s="103" t="s">
        <v>776</v>
      </c>
      <c r="C457" s="95"/>
      <c r="D457" s="95"/>
      <c r="E457" s="95"/>
    </row>
    <row r="458" spans="1:5" x14ac:dyDescent="0.25">
      <c r="A458" s="159" t="s">
        <v>777</v>
      </c>
      <c r="B458" s="103" t="s">
        <v>778</v>
      </c>
      <c r="C458" s="95"/>
      <c r="D458" s="95"/>
      <c r="E458" s="95"/>
    </row>
    <row r="459" spans="1:5" x14ac:dyDescent="0.25">
      <c r="A459" s="159" t="s">
        <v>779</v>
      </c>
      <c r="B459" s="103" t="s">
        <v>780</v>
      </c>
      <c r="C459" s="95"/>
      <c r="D459" s="95"/>
      <c r="E459" s="95"/>
    </row>
    <row r="460" spans="1:5" x14ac:dyDescent="0.25">
      <c r="A460" s="169" t="s">
        <v>781</v>
      </c>
      <c r="B460" s="170" t="s">
        <v>782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783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784</v>
      </c>
      <c r="D464" s="95"/>
      <c r="E464" s="95"/>
    </row>
    <row r="465" spans="1:5" x14ac:dyDescent="0.25">
      <c r="A465" s="112" t="s">
        <v>785</v>
      </c>
      <c r="B465" s="99" t="s">
        <v>786</v>
      </c>
      <c r="C465" s="112" t="s">
        <v>787</v>
      </c>
      <c r="D465" s="95"/>
      <c r="E465" s="95"/>
    </row>
    <row r="466" spans="1:5" x14ac:dyDescent="0.25">
      <c r="A466" s="112" t="s">
        <v>98</v>
      </c>
      <c r="B466" s="99" t="s">
        <v>788</v>
      </c>
      <c r="C466" s="112" t="s">
        <v>787</v>
      </c>
      <c r="D466" s="95"/>
      <c r="E466" s="95"/>
    </row>
    <row r="467" spans="1:5" x14ac:dyDescent="0.25">
      <c r="A467" s="112" t="s">
        <v>214</v>
      </c>
      <c r="B467" s="99" t="s">
        <v>789</v>
      </c>
      <c r="C467" s="112" t="s">
        <v>790</v>
      </c>
      <c r="D467" s="95"/>
      <c r="E467" s="95"/>
    </row>
    <row r="468" spans="1:5" x14ac:dyDescent="0.25">
      <c r="A468" s="112" t="s">
        <v>36</v>
      </c>
      <c r="B468" s="99" t="s">
        <v>791</v>
      </c>
      <c r="C468" s="112" t="s">
        <v>790</v>
      </c>
      <c r="D468" s="95"/>
      <c r="E468" s="95"/>
    </row>
    <row r="469" spans="1:5" x14ac:dyDescent="0.25">
      <c r="A469" s="102" t="s">
        <v>215</v>
      </c>
      <c r="B469" s="99" t="s">
        <v>792</v>
      </c>
      <c r="C469" s="112" t="s">
        <v>790</v>
      </c>
      <c r="D469" s="95"/>
      <c r="E469" s="95"/>
    </row>
    <row r="470" spans="1:5" x14ac:dyDescent="0.25">
      <c r="A470" s="102" t="s">
        <v>339</v>
      </c>
      <c r="B470" s="99" t="s">
        <v>793</v>
      </c>
      <c r="C470" s="112" t="s">
        <v>790</v>
      </c>
      <c r="D470" s="95"/>
      <c r="E470" s="95"/>
    </row>
    <row r="471" spans="1:5" x14ac:dyDescent="0.25">
      <c r="A471" s="102" t="s">
        <v>99</v>
      </c>
      <c r="B471" s="99" t="s">
        <v>794</v>
      </c>
      <c r="C471" s="112" t="s">
        <v>790</v>
      </c>
      <c r="D471" s="95"/>
      <c r="E471" s="95"/>
    </row>
    <row r="472" spans="1:5" x14ac:dyDescent="0.25">
      <c r="A472" s="102" t="s">
        <v>68</v>
      </c>
      <c r="B472" s="99" t="s">
        <v>795</v>
      </c>
      <c r="C472" s="112" t="s">
        <v>787</v>
      </c>
      <c r="D472" s="95"/>
      <c r="E472" s="95"/>
    </row>
    <row r="473" spans="1:5" x14ac:dyDescent="0.25">
      <c r="A473" s="112" t="s">
        <v>244</v>
      </c>
      <c r="B473" s="99" t="s">
        <v>796</v>
      </c>
      <c r="C473" s="112" t="s">
        <v>790</v>
      </c>
      <c r="D473" s="95"/>
      <c r="E473" s="95"/>
    </row>
    <row r="474" spans="1:5" x14ac:dyDescent="0.25">
      <c r="A474" s="112" t="s">
        <v>245</v>
      </c>
      <c r="B474" s="99" t="s">
        <v>797</v>
      </c>
      <c r="C474" s="112" t="s">
        <v>790</v>
      </c>
      <c r="D474" s="95"/>
      <c r="E474" s="95"/>
    </row>
    <row r="475" spans="1:5" x14ac:dyDescent="0.25">
      <c r="A475" s="112" t="s">
        <v>246</v>
      </c>
      <c r="B475" s="99" t="s">
        <v>798</v>
      </c>
      <c r="C475" s="112" t="s">
        <v>787</v>
      </c>
      <c r="D475" s="95"/>
      <c r="E475" s="95"/>
    </row>
    <row r="476" spans="1:5" x14ac:dyDescent="0.25">
      <c r="A476" s="112" t="s">
        <v>247</v>
      </c>
      <c r="B476" s="99" t="s">
        <v>799</v>
      </c>
      <c r="C476" s="112" t="s">
        <v>787</v>
      </c>
      <c r="D476" s="95"/>
      <c r="E476" s="95"/>
    </row>
    <row r="477" spans="1:5" x14ac:dyDescent="0.25">
      <c r="A477" s="112" t="s">
        <v>248</v>
      </c>
      <c r="B477" s="99" t="s">
        <v>800</v>
      </c>
      <c r="C477" s="112" t="s">
        <v>790</v>
      </c>
      <c r="D477" s="95"/>
      <c r="E477" s="95"/>
    </row>
    <row r="478" spans="1:5" x14ac:dyDescent="0.25">
      <c r="A478" s="112">
        <v>50</v>
      </c>
      <c r="B478" s="99" t="s">
        <v>801</v>
      </c>
      <c r="C478" s="112" t="s">
        <v>790</v>
      </c>
      <c r="D478" s="95"/>
      <c r="E478" s="95"/>
    </row>
    <row r="479" spans="1:5" x14ac:dyDescent="0.25">
      <c r="A479" s="112">
        <v>51</v>
      </c>
      <c r="B479" s="99" t="s">
        <v>802</v>
      </c>
      <c r="C479" s="112" t="s">
        <v>790</v>
      </c>
      <c r="D479" s="95"/>
      <c r="E479" s="95"/>
    </row>
    <row r="480" spans="1:5" x14ac:dyDescent="0.25">
      <c r="A480" s="171">
        <v>52</v>
      </c>
      <c r="B480" s="99" t="s">
        <v>645</v>
      </c>
      <c r="C480" s="112" t="s">
        <v>790</v>
      </c>
      <c r="D480" s="95"/>
      <c r="E480" s="95"/>
    </row>
    <row r="481" spans="1:5" x14ac:dyDescent="0.25">
      <c r="A481" s="159">
        <v>53</v>
      </c>
      <c r="B481" s="99" t="s">
        <v>646</v>
      </c>
      <c r="C481" s="112" t="s">
        <v>790</v>
      </c>
      <c r="D481" s="95"/>
      <c r="E481" s="95"/>
    </row>
    <row r="482" spans="1:5" x14ac:dyDescent="0.25">
      <c r="A482" s="171" t="s">
        <v>249</v>
      </c>
      <c r="B482" s="99" t="s">
        <v>803</v>
      </c>
      <c r="C482" s="112" t="s">
        <v>787</v>
      </c>
      <c r="D482" s="95"/>
      <c r="E482" s="95"/>
    </row>
    <row r="483" spans="1:5" x14ac:dyDescent="0.25">
      <c r="A483" s="171" t="s">
        <v>251</v>
      </c>
      <c r="B483" s="99" t="s">
        <v>804</v>
      </c>
      <c r="C483" s="112" t="s">
        <v>790</v>
      </c>
      <c r="D483" s="95"/>
      <c r="E483" s="95"/>
    </row>
    <row r="484" spans="1:5" x14ac:dyDescent="0.25">
      <c r="A484" s="172" t="s">
        <v>252</v>
      </c>
      <c r="B484" s="120" t="s">
        <v>805</v>
      </c>
      <c r="C484" s="173" t="s">
        <v>790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806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807</v>
      </c>
      <c r="B489" s="176" t="s">
        <v>808</v>
      </c>
      <c r="C489" s="95"/>
      <c r="D489" s="95"/>
      <c r="E489" s="95"/>
    </row>
    <row r="490" spans="1:5" x14ac:dyDescent="0.25">
      <c r="A490" s="177" t="s">
        <v>809</v>
      </c>
      <c r="B490" s="176" t="s">
        <v>810</v>
      </c>
      <c r="C490" s="95"/>
      <c r="D490" s="95"/>
      <c r="E490" s="95"/>
    </row>
    <row r="491" spans="1:5" x14ac:dyDescent="0.25">
      <c r="A491" s="175" t="s">
        <v>811</v>
      </c>
      <c r="B491" s="176" t="s">
        <v>812</v>
      </c>
      <c r="C491" s="95"/>
      <c r="D491" s="95"/>
      <c r="E491" s="95"/>
    </row>
    <row r="492" spans="1:5" x14ac:dyDescent="0.25">
      <c r="A492" s="175" t="s">
        <v>813</v>
      </c>
      <c r="B492" s="176" t="s">
        <v>814</v>
      </c>
      <c r="C492" s="95"/>
      <c r="D492" s="95"/>
      <c r="E492" s="95"/>
    </row>
    <row r="493" spans="1:5" x14ac:dyDescent="0.25">
      <c r="A493" s="175" t="s">
        <v>815</v>
      </c>
      <c r="B493" s="176" t="s">
        <v>816</v>
      </c>
      <c r="C493" s="95"/>
      <c r="D493" s="95"/>
      <c r="E493" s="95"/>
    </row>
    <row r="494" spans="1:5" x14ac:dyDescent="0.25">
      <c r="A494" s="175" t="s">
        <v>817</v>
      </c>
      <c r="B494" s="176" t="s">
        <v>818</v>
      </c>
      <c r="C494" s="95"/>
      <c r="D494" s="95"/>
      <c r="E494" s="95"/>
    </row>
    <row r="495" spans="1:5" x14ac:dyDescent="0.25">
      <c r="A495" s="175" t="s">
        <v>819</v>
      </c>
      <c r="B495" s="176" t="s">
        <v>820</v>
      </c>
      <c r="C495" s="95"/>
      <c r="D495" s="95"/>
      <c r="E495" s="95"/>
    </row>
    <row r="496" spans="1:5" x14ac:dyDescent="0.25">
      <c r="A496" s="175" t="s">
        <v>821</v>
      </c>
      <c r="B496" s="176" t="s">
        <v>822</v>
      </c>
      <c r="C496" s="95"/>
      <c r="D496" s="95"/>
      <c r="E496" s="95"/>
    </row>
    <row r="497" spans="1:5" x14ac:dyDescent="0.25">
      <c r="A497" s="175" t="s">
        <v>823</v>
      </c>
      <c r="B497" s="176" t="s">
        <v>824</v>
      </c>
      <c r="C497" s="95"/>
      <c r="D497" s="95"/>
      <c r="E497" s="95"/>
    </row>
    <row r="498" spans="1:5" x14ac:dyDescent="0.25">
      <c r="A498" s="177" t="s">
        <v>825</v>
      </c>
      <c r="B498" s="176" t="s">
        <v>826</v>
      </c>
      <c r="C498" s="95"/>
      <c r="D498" s="95"/>
      <c r="E498" s="95"/>
    </row>
    <row r="499" spans="1:5" x14ac:dyDescent="0.25">
      <c r="A499" s="175" t="s">
        <v>827</v>
      </c>
      <c r="B499" s="176" t="s">
        <v>828</v>
      </c>
      <c r="C499" s="95"/>
      <c r="D499" s="95"/>
      <c r="E499" s="95"/>
    </row>
    <row r="500" spans="1:5" x14ac:dyDescent="0.25">
      <c r="A500" s="177" t="s">
        <v>829</v>
      </c>
      <c r="B500" s="176" t="s">
        <v>830</v>
      </c>
      <c r="C500" s="95"/>
      <c r="D500" s="95"/>
      <c r="E500" s="95"/>
    </row>
    <row r="501" spans="1:5" x14ac:dyDescent="0.25">
      <c r="A501" s="175" t="s">
        <v>831</v>
      </c>
      <c r="B501" s="176" t="s">
        <v>832</v>
      </c>
      <c r="C501" s="95"/>
      <c r="D501" s="95"/>
      <c r="E501" s="95"/>
    </row>
    <row r="502" spans="1:5" x14ac:dyDescent="0.25">
      <c r="A502" s="177" t="s">
        <v>833</v>
      </c>
      <c r="B502" s="176" t="s">
        <v>834</v>
      </c>
      <c r="C502" s="95"/>
      <c r="D502" s="95"/>
      <c r="E502" s="95"/>
    </row>
    <row r="503" spans="1:5" x14ac:dyDescent="0.25">
      <c r="A503" s="177" t="s">
        <v>835</v>
      </c>
      <c r="B503" s="176" t="s">
        <v>836</v>
      </c>
      <c r="C503" s="95"/>
      <c r="D503" s="95"/>
      <c r="E503" s="95"/>
    </row>
    <row r="504" spans="1:5" x14ac:dyDescent="0.25">
      <c r="A504" s="175" t="s">
        <v>837</v>
      </c>
      <c r="B504" s="176" t="s">
        <v>838</v>
      </c>
      <c r="C504" s="95"/>
      <c r="D504" s="95"/>
      <c r="E504" s="95"/>
    </row>
    <row r="505" spans="1:5" x14ac:dyDescent="0.25">
      <c r="A505" s="175" t="s">
        <v>839</v>
      </c>
      <c r="B505" s="176" t="s">
        <v>840</v>
      </c>
      <c r="C505" s="95"/>
      <c r="D505" s="95"/>
      <c r="E505" s="95"/>
    </row>
    <row r="506" spans="1:5" x14ac:dyDescent="0.25">
      <c r="A506" s="175" t="s">
        <v>841</v>
      </c>
      <c r="B506" s="176" t="s">
        <v>842</v>
      </c>
      <c r="C506" s="95"/>
      <c r="D506" s="95"/>
      <c r="E506" s="95"/>
    </row>
    <row r="507" spans="1:5" x14ac:dyDescent="0.25">
      <c r="A507" s="175" t="s">
        <v>843</v>
      </c>
      <c r="B507" s="176" t="s">
        <v>844</v>
      </c>
      <c r="C507" s="95"/>
      <c r="D507" s="95"/>
      <c r="E507" s="95"/>
    </row>
    <row r="508" spans="1:5" x14ac:dyDescent="0.25">
      <c r="A508" s="175" t="s">
        <v>257</v>
      </c>
      <c r="B508" s="176" t="s">
        <v>845</v>
      </c>
      <c r="C508" s="95"/>
      <c r="D508" s="95"/>
      <c r="E508" s="95"/>
    </row>
    <row r="509" spans="1:5" x14ac:dyDescent="0.25">
      <c r="A509" s="175" t="s">
        <v>846</v>
      </c>
      <c r="B509" s="176" t="s">
        <v>847</v>
      </c>
      <c r="C509" s="95"/>
      <c r="D509" s="95"/>
      <c r="E509" s="95"/>
    </row>
    <row r="510" spans="1:5" x14ac:dyDescent="0.25">
      <c r="A510" s="175" t="s">
        <v>848</v>
      </c>
      <c r="B510" s="176" t="s">
        <v>849</v>
      </c>
      <c r="C510" s="95"/>
      <c r="D510" s="95"/>
      <c r="E510" s="95"/>
    </row>
    <row r="511" spans="1:5" x14ac:dyDescent="0.25">
      <c r="A511" s="175" t="s">
        <v>850</v>
      </c>
      <c r="B511" s="176" t="s">
        <v>851</v>
      </c>
      <c r="C511" s="95"/>
      <c r="D511" s="95"/>
      <c r="E511" s="95"/>
    </row>
    <row r="512" spans="1:5" x14ac:dyDescent="0.25">
      <c r="A512" s="175" t="s">
        <v>852</v>
      </c>
      <c r="B512" s="176" t="s">
        <v>853</v>
      </c>
      <c r="C512" s="95"/>
      <c r="D512" s="95"/>
      <c r="E512" s="95"/>
    </row>
    <row r="513" spans="1:5" x14ac:dyDescent="0.25">
      <c r="A513" s="175" t="s">
        <v>854</v>
      </c>
      <c r="B513" s="176" t="s">
        <v>855</v>
      </c>
      <c r="C513" s="95"/>
      <c r="D513" s="95"/>
      <c r="E513" s="95"/>
    </row>
    <row r="514" spans="1:5" x14ac:dyDescent="0.25">
      <c r="A514" s="177" t="s">
        <v>856</v>
      </c>
      <c r="B514" s="176" t="s">
        <v>857</v>
      </c>
      <c r="C514" s="95"/>
      <c r="D514" s="95"/>
      <c r="E514" s="95"/>
    </row>
    <row r="515" spans="1:5" x14ac:dyDescent="0.25">
      <c r="A515" s="175" t="s">
        <v>858</v>
      </c>
      <c r="B515" s="176" t="s">
        <v>859</v>
      </c>
      <c r="C515" s="95"/>
      <c r="D515" s="95"/>
      <c r="E515" s="95"/>
    </row>
    <row r="516" spans="1:5" x14ac:dyDescent="0.25">
      <c r="A516" s="175" t="s">
        <v>860</v>
      </c>
      <c r="B516" s="176" t="s">
        <v>861</v>
      </c>
      <c r="C516" s="95"/>
      <c r="D516" s="95"/>
      <c r="E516" s="95"/>
    </row>
    <row r="517" spans="1:5" x14ac:dyDescent="0.25">
      <c r="A517" s="177" t="s">
        <v>862</v>
      </c>
      <c r="B517" s="176" t="s">
        <v>863</v>
      </c>
      <c r="C517" s="95"/>
      <c r="D517" s="95"/>
      <c r="E517" s="95"/>
    </row>
    <row r="518" spans="1:5" x14ac:dyDescent="0.25">
      <c r="A518" s="175" t="s">
        <v>864</v>
      </c>
      <c r="B518" s="176" t="s">
        <v>865</v>
      </c>
      <c r="C518" s="95"/>
      <c r="D518" s="95"/>
      <c r="E518" s="95"/>
    </row>
    <row r="519" spans="1:5" x14ac:dyDescent="0.25">
      <c r="A519" s="175" t="s">
        <v>866</v>
      </c>
      <c r="B519" s="176" t="s">
        <v>867</v>
      </c>
      <c r="C519" s="95"/>
      <c r="D519" s="95"/>
      <c r="E519" s="95"/>
    </row>
    <row r="520" spans="1:5" x14ac:dyDescent="0.25">
      <c r="A520" s="175" t="s">
        <v>868</v>
      </c>
      <c r="B520" s="176" t="s">
        <v>869</v>
      </c>
      <c r="C520" s="95"/>
      <c r="D520" s="95"/>
      <c r="E520" s="95"/>
    </row>
    <row r="521" spans="1:5" x14ac:dyDescent="0.25">
      <c r="A521" s="175" t="s">
        <v>870</v>
      </c>
      <c r="B521" s="176" t="s">
        <v>871</v>
      </c>
      <c r="C521" s="95"/>
      <c r="D521" s="95"/>
      <c r="E521" s="95"/>
    </row>
    <row r="522" spans="1:5" x14ac:dyDescent="0.25">
      <c r="A522" s="175" t="s">
        <v>872</v>
      </c>
      <c r="B522" s="176" t="s">
        <v>873</v>
      </c>
      <c r="C522" s="95"/>
      <c r="D522" s="95"/>
      <c r="E522" s="95"/>
    </row>
    <row r="523" spans="1:5" x14ac:dyDescent="0.25">
      <c r="A523" s="175" t="s">
        <v>874</v>
      </c>
      <c r="B523" s="176" t="s">
        <v>875</v>
      </c>
      <c r="C523" s="95"/>
      <c r="D523" s="95"/>
      <c r="E523" s="95"/>
    </row>
    <row r="524" spans="1:5" x14ac:dyDescent="0.25">
      <c r="A524" s="177" t="s">
        <v>876</v>
      </c>
      <c r="B524" s="176" t="s">
        <v>877</v>
      </c>
      <c r="C524" s="95"/>
      <c r="D524" s="95"/>
      <c r="E524" s="95"/>
    </row>
    <row r="525" spans="1:5" x14ac:dyDescent="0.25">
      <c r="A525" s="177" t="s">
        <v>878</v>
      </c>
      <c r="B525" s="176" t="s">
        <v>879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880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527</v>
      </c>
      <c r="B530" s="168" t="s">
        <v>881</v>
      </c>
      <c r="C530" s="95"/>
      <c r="D530" s="95"/>
      <c r="E530" s="95"/>
    </row>
    <row r="531" spans="1:5" x14ac:dyDescent="0.25">
      <c r="A531" s="159" t="s">
        <v>529</v>
      </c>
      <c r="B531" s="168" t="s">
        <v>882</v>
      </c>
      <c r="C531" s="95"/>
      <c r="D531" s="95"/>
      <c r="E531" s="95"/>
    </row>
    <row r="532" spans="1:5" x14ac:dyDescent="0.25">
      <c r="A532" s="159" t="s">
        <v>531</v>
      </c>
      <c r="B532" s="168" t="s">
        <v>883</v>
      </c>
      <c r="C532" s="95"/>
      <c r="D532" s="95"/>
      <c r="E532" s="95"/>
    </row>
    <row r="533" spans="1:5" x14ac:dyDescent="0.25">
      <c r="A533" s="159" t="s">
        <v>533</v>
      </c>
      <c r="B533" s="168" t="s">
        <v>884</v>
      </c>
      <c r="C533" s="95"/>
      <c r="D533" s="95"/>
      <c r="E533" s="95"/>
    </row>
    <row r="534" spans="1:5" x14ac:dyDescent="0.25">
      <c r="A534" s="159" t="s">
        <v>535</v>
      </c>
      <c r="B534" s="168" t="s">
        <v>885</v>
      </c>
      <c r="C534" s="95"/>
      <c r="D534" s="95"/>
      <c r="E534" s="95"/>
    </row>
    <row r="535" spans="1:5" x14ac:dyDescent="0.25">
      <c r="A535" s="159" t="s">
        <v>537</v>
      </c>
      <c r="B535" s="168" t="s">
        <v>886</v>
      </c>
      <c r="C535" s="95"/>
      <c r="D535" s="95"/>
      <c r="E535" s="95"/>
    </row>
    <row r="536" spans="1:5" x14ac:dyDescent="0.25">
      <c r="A536" s="159" t="s">
        <v>887</v>
      </c>
      <c r="B536" s="168" t="s">
        <v>888</v>
      </c>
      <c r="C536" s="95"/>
      <c r="D536" s="95"/>
      <c r="E536" s="95"/>
    </row>
    <row r="537" spans="1:5" x14ac:dyDescent="0.25">
      <c r="A537" s="159" t="s">
        <v>889</v>
      </c>
      <c r="B537" s="103" t="s">
        <v>890</v>
      </c>
      <c r="C537" s="95"/>
      <c r="D537" s="95"/>
      <c r="E537" s="95"/>
    </row>
    <row r="538" spans="1:5" x14ac:dyDescent="0.25">
      <c r="A538" s="159" t="s">
        <v>891</v>
      </c>
      <c r="B538" s="168" t="s">
        <v>892</v>
      </c>
      <c r="C538" s="95"/>
      <c r="D538" s="95"/>
      <c r="E538" s="95"/>
    </row>
    <row r="539" spans="1:5" x14ac:dyDescent="0.25">
      <c r="A539" s="159" t="s">
        <v>893</v>
      </c>
      <c r="B539" s="168" t="s">
        <v>894</v>
      </c>
      <c r="C539" s="95"/>
      <c r="D539" s="95"/>
      <c r="E539" s="95"/>
    </row>
    <row r="540" spans="1:5" x14ac:dyDescent="0.25">
      <c r="A540" s="159" t="s">
        <v>895</v>
      </c>
      <c r="B540" s="168" t="s">
        <v>896</v>
      </c>
      <c r="C540" s="95"/>
      <c r="D540" s="95"/>
      <c r="E540" s="95"/>
    </row>
    <row r="541" spans="1:5" x14ac:dyDescent="0.25">
      <c r="A541" s="159" t="s">
        <v>897</v>
      </c>
      <c r="B541" s="168" t="s">
        <v>898</v>
      </c>
      <c r="C541" s="95"/>
      <c r="D541" s="95"/>
      <c r="E541" s="95"/>
    </row>
    <row r="542" spans="1:5" x14ac:dyDescent="0.25">
      <c r="A542" s="159" t="s">
        <v>899</v>
      </c>
      <c r="B542" s="168" t="s">
        <v>900</v>
      </c>
      <c r="C542" s="95"/>
      <c r="D542" s="95"/>
      <c r="E542" s="95"/>
    </row>
    <row r="543" spans="1:5" x14ac:dyDescent="0.25">
      <c r="A543" s="159" t="s">
        <v>901</v>
      </c>
      <c r="B543" s="168" t="s">
        <v>902</v>
      </c>
      <c r="C543" s="95"/>
      <c r="D543" s="95"/>
      <c r="E543" s="95"/>
    </row>
    <row r="544" spans="1:5" x14ac:dyDescent="0.25">
      <c r="A544" s="159" t="s">
        <v>903</v>
      </c>
      <c r="B544" s="168" t="s">
        <v>904</v>
      </c>
      <c r="C544" s="95"/>
      <c r="D544" s="95"/>
      <c r="E544" s="95"/>
    </row>
    <row r="545" spans="1:5" x14ac:dyDescent="0.25">
      <c r="A545" s="159" t="s">
        <v>905</v>
      </c>
      <c r="B545" s="168" t="s">
        <v>906</v>
      </c>
      <c r="C545" s="95"/>
      <c r="D545" s="95"/>
      <c r="E545" s="95"/>
    </row>
    <row r="546" spans="1:5" x14ac:dyDescent="0.25">
      <c r="A546" s="159" t="s">
        <v>907</v>
      </c>
      <c r="B546" s="168" t="s">
        <v>908</v>
      </c>
      <c r="C546" s="95"/>
      <c r="D546" s="95"/>
      <c r="E546" s="95"/>
    </row>
    <row r="547" spans="1:5" x14ac:dyDescent="0.25">
      <c r="A547" s="159" t="s">
        <v>547</v>
      </c>
      <c r="B547" s="168" t="s">
        <v>909</v>
      </c>
      <c r="C547" s="95"/>
      <c r="D547" s="95"/>
      <c r="E547" s="95"/>
    </row>
    <row r="548" spans="1:5" x14ac:dyDescent="0.25">
      <c r="A548" s="159" t="s">
        <v>549</v>
      </c>
      <c r="B548" s="168" t="s">
        <v>910</v>
      </c>
      <c r="C548" s="95"/>
      <c r="D548" s="95"/>
      <c r="E548" s="95"/>
    </row>
    <row r="549" spans="1:5" x14ac:dyDescent="0.25">
      <c r="A549" s="159">
        <v>4002</v>
      </c>
      <c r="B549" s="168" t="s">
        <v>911</v>
      </c>
      <c r="C549" s="95"/>
      <c r="D549" s="95"/>
      <c r="E549" s="95"/>
    </row>
    <row r="550" spans="1:5" x14ac:dyDescent="0.25">
      <c r="A550" s="159">
        <v>4003</v>
      </c>
      <c r="B550" s="168" t="s">
        <v>912</v>
      </c>
      <c r="C550" s="95"/>
      <c r="D550" s="95"/>
      <c r="E550" s="95"/>
    </row>
    <row r="551" spans="1:5" x14ac:dyDescent="0.25">
      <c r="A551" s="159">
        <v>4004</v>
      </c>
      <c r="B551" s="168" t="s">
        <v>913</v>
      </c>
      <c r="C551" s="95"/>
      <c r="D551" s="95"/>
      <c r="E551" s="95"/>
    </row>
    <row r="552" spans="1:5" x14ac:dyDescent="0.25">
      <c r="A552" s="159">
        <v>4005</v>
      </c>
      <c r="B552" s="168" t="s">
        <v>914</v>
      </c>
      <c r="C552" s="95"/>
      <c r="D552" s="95"/>
      <c r="E552" s="95"/>
    </row>
    <row r="553" spans="1:5" x14ac:dyDescent="0.25">
      <c r="A553" s="159">
        <v>4006</v>
      </c>
      <c r="B553" s="168" t="s">
        <v>915</v>
      </c>
      <c r="C553" s="95"/>
      <c r="D553" s="95"/>
      <c r="E553" s="95"/>
    </row>
    <row r="554" spans="1:5" x14ac:dyDescent="0.25">
      <c r="A554" s="159">
        <v>4007</v>
      </c>
      <c r="B554" s="168" t="s">
        <v>916</v>
      </c>
      <c r="C554" s="95"/>
      <c r="D554" s="95"/>
      <c r="E554" s="95"/>
    </row>
    <row r="555" spans="1:5" x14ac:dyDescent="0.25">
      <c r="A555" s="159">
        <v>4008</v>
      </c>
      <c r="B555" s="168" t="s">
        <v>917</v>
      </c>
      <c r="C555" s="95"/>
      <c r="D555" s="95"/>
      <c r="E555" s="95"/>
    </row>
    <row r="556" spans="1:5" x14ac:dyDescent="0.25">
      <c r="A556" s="159">
        <v>4009</v>
      </c>
      <c r="B556" s="168" t="s">
        <v>918</v>
      </c>
      <c r="C556" s="95"/>
      <c r="D556" s="95"/>
      <c r="E556" s="95"/>
    </row>
    <row r="557" spans="1:5" x14ac:dyDescent="0.25">
      <c r="A557" s="159" t="s">
        <v>919</v>
      </c>
      <c r="B557" s="168" t="s">
        <v>920</v>
      </c>
      <c r="C557" s="95"/>
      <c r="D557" s="95"/>
      <c r="E557" s="95"/>
    </row>
    <row r="558" spans="1:5" x14ac:dyDescent="0.25">
      <c r="A558" s="159" t="s">
        <v>921</v>
      </c>
      <c r="B558" s="168" t="s">
        <v>922</v>
      </c>
      <c r="C558" s="95"/>
      <c r="D558" s="95"/>
      <c r="E558" s="95"/>
    </row>
    <row r="559" spans="1:5" x14ac:dyDescent="0.25">
      <c r="A559" s="159" t="s">
        <v>923</v>
      </c>
      <c r="B559" s="168" t="s">
        <v>924</v>
      </c>
      <c r="C559" s="95"/>
      <c r="D559" s="95"/>
      <c r="E559" s="95"/>
    </row>
    <row r="560" spans="1:5" x14ac:dyDescent="0.25">
      <c r="A560" s="159" t="s">
        <v>925</v>
      </c>
      <c r="B560" s="168" t="s">
        <v>926</v>
      </c>
      <c r="C560" s="95"/>
      <c r="D560" s="95"/>
      <c r="E560" s="95"/>
    </row>
    <row r="561" spans="1:5" x14ac:dyDescent="0.25">
      <c r="A561" s="159" t="s">
        <v>927</v>
      </c>
      <c r="B561" s="168" t="s">
        <v>928</v>
      </c>
      <c r="C561" s="95"/>
      <c r="D561" s="95"/>
      <c r="E561" s="95"/>
    </row>
    <row r="562" spans="1:5" x14ac:dyDescent="0.25">
      <c r="A562" s="159" t="s">
        <v>929</v>
      </c>
      <c r="B562" s="168" t="s">
        <v>930</v>
      </c>
      <c r="C562" s="95"/>
      <c r="D562" s="95"/>
      <c r="E562" s="95"/>
    </row>
    <row r="563" spans="1:5" x14ac:dyDescent="0.25">
      <c r="A563" s="159" t="s">
        <v>931</v>
      </c>
      <c r="B563" s="168" t="s">
        <v>932</v>
      </c>
      <c r="C563" s="95"/>
      <c r="D563" s="95"/>
      <c r="E563" s="95"/>
    </row>
    <row r="564" spans="1:5" x14ac:dyDescent="0.25">
      <c r="A564" s="159" t="s">
        <v>933</v>
      </c>
      <c r="B564" s="168" t="s">
        <v>934</v>
      </c>
      <c r="C564" s="95"/>
      <c r="D564" s="95"/>
      <c r="E564" s="95"/>
    </row>
    <row r="565" spans="1:5" x14ac:dyDescent="0.25">
      <c r="A565" s="159" t="s">
        <v>935</v>
      </c>
      <c r="B565" s="168" t="s">
        <v>936</v>
      </c>
      <c r="C565" s="95"/>
      <c r="D565" s="95"/>
      <c r="E565" s="95"/>
    </row>
    <row r="566" spans="1:5" x14ac:dyDescent="0.25">
      <c r="A566" s="159" t="s">
        <v>937</v>
      </c>
      <c r="B566" s="168" t="s">
        <v>938</v>
      </c>
      <c r="C566" s="95"/>
      <c r="D566" s="95"/>
      <c r="E566" s="95"/>
    </row>
    <row r="567" spans="1:5" x14ac:dyDescent="0.25">
      <c r="A567" s="159" t="s">
        <v>939</v>
      </c>
      <c r="B567" s="168" t="s">
        <v>940</v>
      </c>
      <c r="C567" s="95"/>
      <c r="D567" s="95"/>
      <c r="E567" s="95"/>
    </row>
    <row r="568" spans="1:5" x14ac:dyDescent="0.25">
      <c r="A568" s="159" t="s">
        <v>941</v>
      </c>
      <c r="B568" s="168" t="s">
        <v>942</v>
      </c>
      <c r="C568" s="95"/>
      <c r="D568" s="95"/>
      <c r="E568" s="95"/>
    </row>
    <row r="569" spans="1:5" x14ac:dyDescent="0.25">
      <c r="A569" s="159" t="s">
        <v>943</v>
      </c>
      <c r="B569" s="168" t="s">
        <v>944</v>
      </c>
      <c r="C569" s="95"/>
      <c r="D569" s="95"/>
      <c r="E569" s="95"/>
    </row>
    <row r="570" spans="1:5" x14ac:dyDescent="0.25">
      <c r="A570" s="178" t="s">
        <v>945</v>
      </c>
      <c r="B570" s="179" t="s">
        <v>946</v>
      </c>
      <c r="C570" s="95"/>
      <c r="D570" s="95"/>
      <c r="E570" s="95"/>
    </row>
    <row r="571" spans="1:5" x14ac:dyDescent="0.25">
      <c r="A571" s="159" t="s">
        <v>947</v>
      </c>
      <c r="B571" s="168" t="s">
        <v>948</v>
      </c>
      <c r="C571" s="95"/>
      <c r="D571" s="95"/>
      <c r="E571" s="95"/>
    </row>
    <row r="572" spans="1:5" x14ac:dyDescent="0.25">
      <c r="A572" s="159" t="s">
        <v>949</v>
      </c>
      <c r="B572" s="168" t="s">
        <v>950</v>
      </c>
      <c r="C572" s="95"/>
      <c r="D572" s="95"/>
      <c r="E572" s="95"/>
    </row>
    <row r="573" spans="1:5" x14ac:dyDescent="0.25">
      <c r="A573" s="159" t="s">
        <v>951</v>
      </c>
      <c r="B573" s="168" t="s">
        <v>952</v>
      </c>
      <c r="C573" s="95"/>
      <c r="D573" s="95"/>
      <c r="E573" s="95"/>
    </row>
    <row r="574" spans="1:5" x14ac:dyDescent="0.25">
      <c r="A574" s="159" t="s">
        <v>953</v>
      </c>
      <c r="B574" s="168" t="s">
        <v>954</v>
      </c>
      <c r="C574" s="95"/>
      <c r="D574" s="95"/>
      <c r="E574" s="95"/>
    </row>
    <row r="575" spans="1:5" x14ac:dyDescent="0.25">
      <c r="A575" s="159" t="s">
        <v>955</v>
      </c>
      <c r="B575" s="168" t="s">
        <v>956</v>
      </c>
      <c r="C575" s="95"/>
      <c r="D575" s="95"/>
      <c r="E575" s="95"/>
    </row>
    <row r="576" spans="1:5" x14ac:dyDescent="0.25">
      <c r="A576" s="159">
        <v>5000</v>
      </c>
      <c r="B576" s="168" t="s">
        <v>568</v>
      </c>
      <c r="C576" s="95"/>
      <c r="D576" s="95"/>
      <c r="E576" s="95"/>
    </row>
    <row r="577" spans="1:5" x14ac:dyDescent="0.25">
      <c r="A577" s="159">
        <v>5001</v>
      </c>
      <c r="B577" s="168" t="s">
        <v>957</v>
      </c>
      <c r="C577" s="95"/>
      <c r="D577" s="95"/>
      <c r="E577" s="95"/>
    </row>
    <row r="578" spans="1:5" x14ac:dyDescent="0.25">
      <c r="A578" s="159">
        <v>5002</v>
      </c>
      <c r="B578" s="168" t="s">
        <v>958</v>
      </c>
      <c r="C578" s="95"/>
      <c r="D578" s="95"/>
      <c r="E578" s="95"/>
    </row>
    <row r="579" spans="1:5" x14ac:dyDescent="0.25">
      <c r="A579" s="159">
        <v>5003</v>
      </c>
      <c r="B579" s="168" t="s">
        <v>959</v>
      </c>
      <c r="C579" s="95"/>
      <c r="D579" s="95"/>
      <c r="E579" s="95"/>
    </row>
    <row r="580" spans="1:5" x14ac:dyDescent="0.25">
      <c r="A580" s="159" t="s">
        <v>960</v>
      </c>
      <c r="B580" s="168" t="s">
        <v>961</v>
      </c>
      <c r="C580" s="95"/>
      <c r="D580" s="95"/>
      <c r="E580" s="95"/>
    </row>
    <row r="581" spans="1:5" x14ac:dyDescent="0.25">
      <c r="A581" s="159" t="s">
        <v>962</v>
      </c>
      <c r="B581" s="168" t="s">
        <v>963</v>
      </c>
      <c r="C581" s="95"/>
      <c r="D581" s="95"/>
      <c r="E581" s="95"/>
    </row>
    <row r="582" spans="1:5" x14ac:dyDescent="0.25">
      <c r="A582" s="159" t="s">
        <v>964</v>
      </c>
      <c r="B582" s="168" t="s">
        <v>965</v>
      </c>
      <c r="C582" s="95"/>
      <c r="D582" s="95"/>
      <c r="E582" s="95"/>
    </row>
    <row r="583" spans="1:5" x14ac:dyDescent="0.25">
      <c r="A583" s="159" t="s">
        <v>966</v>
      </c>
      <c r="B583" s="168" t="s">
        <v>967</v>
      </c>
      <c r="C583" s="95"/>
      <c r="D583" s="95"/>
      <c r="E583" s="95"/>
    </row>
    <row r="584" spans="1:5" x14ac:dyDescent="0.25">
      <c r="A584" s="159" t="s">
        <v>968</v>
      </c>
      <c r="B584" s="168" t="s">
        <v>969</v>
      </c>
      <c r="C584" s="95"/>
      <c r="D584" s="95"/>
      <c r="E584" s="95"/>
    </row>
    <row r="585" spans="1:5" x14ac:dyDescent="0.25">
      <c r="A585" s="159" t="s">
        <v>970</v>
      </c>
      <c r="B585" s="168" t="s">
        <v>971</v>
      </c>
      <c r="C585" s="95"/>
      <c r="D585" s="95"/>
      <c r="E585" s="95"/>
    </row>
    <row r="586" spans="1:5" x14ac:dyDescent="0.25">
      <c r="A586" s="159" t="s">
        <v>972</v>
      </c>
      <c r="B586" s="168" t="s">
        <v>973</v>
      </c>
      <c r="C586" s="95"/>
      <c r="D586" s="95"/>
      <c r="E586" s="95"/>
    </row>
    <row r="587" spans="1:5" x14ac:dyDescent="0.25">
      <c r="A587" s="159" t="s">
        <v>974</v>
      </c>
      <c r="B587" s="168" t="s">
        <v>975</v>
      </c>
      <c r="C587" s="95"/>
      <c r="D587" s="95"/>
      <c r="E587" s="95"/>
    </row>
    <row r="588" spans="1:5" x14ac:dyDescent="0.25">
      <c r="A588" s="159" t="s">
        <v>976</v>
      </c>
      <c r="B588" s="168" t="s">
        <v>977</v>
      </c>
      <c r="C588" s="95"/>
      <c r="D588" s="95"/>
      <c r="E588" s="95"/>
    </row>
    <row r="589" spans="1:5" x14ac:dyDescent="0.25">
      <c r="A589" s="159" t="s">
        <v>978</v>
      </c>
      <c r="B589" s="168" t="s">
        <v>979</v>
      </c>
      <c r="C589" s="95"/>
      <c r="D589" s="95"/>
      <c r="E589" s="95"/>
    </row>
    <row r="590" spans="1:5" x14ac:dyDescent="0.25">
      <c r="A590" s="159" t="s">
        <v>980</v>
      </c>
      <c r="B590" s="168" t="s">
        <v>981</v>
      </c>
      <c r="C590" s="95"/>
      <c r="D590" s="95"/>
      <c r="E590" s="95"/>
    </row>
    <row r="591" spans="1:5" x14ac:dyDescent="0.25">
      <c r="A591" s="159" t="s">
        <v>982</v>
      </c>
      <c r="B591" s="168" t="s">
        <v>983</v>
      </c>
      <c r="C591" s="95"/>
      <c r="D591" s="95"/>
      <c r="E591" s="95"/>
    </row>
    <row r="592" spans="1:5" x14ac:dyDescent="0.25">
      <c r="A592" s="159" t="s">
        <v>984</v>
      </c>
      <c r="B592" s="168" t="s">
        <v>985</v>
      </c>
      <c r="C592" s="95"/>
      <c r="D592" s="95"/>
      <c r="E592" s="95"/>
    </row>
    <row r="593" spans="1:5" x14ac:dyDescent="0.25">
      <c r="A593" s="159" t="s">
        <v>986</v>
      </c>
      <c r="B593" s="168" t="s">
        <v>987</v>
      </c>
      <c r="C593" s="95"/>
      <c r="D593" s="95"/>
      <c r="E593" s="95"/>
    </row>
    <row r="594" spans="1:5" x14ac:dyDescent="0.25">
      <c r="A594" s="159" t="s">
        <v>988</v>
      </c>
      <c r="B594" s="168" t="s">
        <v>989</v>
      </c>
      <c r="C594" s="95"/>
      <c r="D594" s="95"/>
      <c r="E594" s="95"/>
    </row>
    <row r="595" spans="1:5" x14ac:dyDescent="0.25">
      <c r="A595" s="159" t="s">
        <v>990</v>
      </c>
      <c r="B595" s="168" t="s">
        <v>991</v>
      </c>
      <c r="C595" s="95"/>
      <c r="D595" s="95"/>
      <c r="E595" s="95"/>
    </row>
    <row r="596" spans="1:5" x14ac:dyDescent="0.25">
      <c r="A596" s="159" t="s">
        <v>992</v>
      </c>
      <c r="B596" s="168" t="s">
        <v>993</v>
      </c>
      <c r="C596" s="95"/>
      <c r="D596" s="95"/>
      <c r="E596" s="95"/>
    </row>
    <row r="597" spans="1:5" x14ac:dyDescent="0.25">
      <c r="A597" s="159" t="s">
        <v>994</v>
      </c>
      <c r="B597" s="168" t="s">
        <v>995</v>
      </c>
      <c r="C597" s="95"/>
      <c r="D597" s="95"/>
      <c r="E597" s="95"/>
    </row>
    <row r="598" spans="1:5" x14ac:dyDescent="0.25">
      <c r="A598" s="159" t="s">
        <v>996</v>
      </c>
      <c r="B598" s="168" t="s">
        <v>997</v>
      </c>
      <c r="C598" s="95"/>
      <c r="D598" s="95"/>
      <c r="E598" s="95"/>
    </row>
    <row r="599" spans="1:5" x14ac:dyDescent="0.25">
      <c r="A599" s="159" t="s">
        <v>998</v>
      </c>
      <c r="B599" s="168" t="s">
        <v>999</v>
      </c>
      <c r="C599" s="95"/>
      <c r="D599" s="95"/>
      <c r="E599" s="95"/>
    </row>
    <row r="600" spans="1:5" x14ac:dyDescent="0.25">
      <c r="A600" s="159" t="s">
        <v>1000</v>
      </c>
      <c r="B600" s="168" t="s">
        <v>1001</v>
      </c>
      <c r="C600" s="95"/>
      <c r="D600" s="95"/>
      <c r="E600" s="95"/>
    </row>
    <row r="601" spans="1:5" x14ac:dyDescent="0.25">
      <c r="A601" s="159" t="s">
        <v>1002</v>
      </c>
      <c r="B601" s="168" t="s">
        <v>1003</v>
      </c>
      <c r="C601" s="95"/>
      <c r="D601" s="95"/>
      <c r="E601" s="95"/>
    </row>
    <row r="602" spans="1:5" x14ac:dyDescent="0.25">
      <c r="A602" s="159" t="s">
        <v>1004</v>
      </c>
      <c r="B602" s="168" t="s">
        <v>1005</v>
      </c>
      <c r="C602" s="95"/>
      <c r="D602" s="95"/>
      <c r="E602" s="95"/>
    </row>
    <row r="603" spans="1:5" x14ac:dyDescent="0.25">
      <c r="A603" s="159" t="s">
        <v>1006</v>
      </c>
      <c r="B603" s="168" t="s">
        <v>1007</v>
      </c>
      <c r="C603" s="95"/>
      <c r="D603" s="95"/>
      <c r="E603" s="95"/>
    </row>
    <row r="604" spans="1:5" x14ac:dyDescent="0.25">
      <c r="A604" s="159" t="s">
        <v>1008</v>
      </c>
      <c r="B604" s="168" t="s">
        <v>1009</v>
      </c>
      <c r="C604" s="95"/>
      <c r="D604" s="95"/>
      <c r="E604" s="95"/>
    </row>
    <row r="605" spans="1:5" x14ac:dyDescent="0.25">
      <c r="A605" s="159" t="s">
        <v>1010</v>
      </c>
      <c r="B605" s="168" t="s">
        <v>1011</v>
      </c>
      <c r="C605" s="95"/>
      <c r="D605" s="95"/>
      <c r="E605" s="95"/>
    </row>
    <row r="606" spans="1:5" x14ac:dyDescent="0.25">
      <c r="A606" s="159" t="s">
        <v>1012</v>
      </c>
      <c r="B606" s="168" t="s">
        <v>1013</v>
      </c>
      <c r="C606" s="95"/>
      <c r="D606" s="95"/>
      <c r="E606" s="95"/>
    </row>
    <row r="607" spans="1:5" x14ac:dyDescent="0.25">
      <c r="A607" s="159" t="s">
        <v>1014</v>
      </c>
      <c r="B607" s="168" t="s">
        <v>1015</v>
      </c>
      <c r="C607" s="95"/>
      <c r="D607" s="95"/>
      <c r="E607" s="95"/>
    </row>
    <row r="608" spans="1:5" x14ac:dyDescent="0.25">
      <c r="A608" s="159" t="s">
        <v>1016</v>
      </c>
      <c r="B608" s="168" t="s">
        <v>1017</v>
      </c>
      <c r="C608" s="95"/>
      <c r="D608" s="95"/>
      <c r="E608" s="95"/>
    </row>
    <row r="609" spans="1:5" x14ac:dyDescent="0.25">
      <c r="A609" s="159" t="s">
        <v>1018</v>
      </c>
      <c r="B609" s="168" t="s">
        <v>1019</v>
      </c>
      <c r="C609" s="95"/>
      <c r="D609" s="95"/>
      <c r="E609" s="95"/>
    </row>
    <row r="610" spans="1:5" x14ac:dyDescent="0.25">
      <c r="A610" s="159" t="s">
        <v>1020</v>
      </c>
      <c r="B610" s="168" t="s">
        <v>1021</v>
      </c>
      <c r="C610" s="95"/>
      <c r="D610" s="95"/>
      <c r="E610" s="95"/>
    </row>
    <row r="611" spans="1:5" x14ac:dyDescent="0.25">
      <c r="A611" s="159" t="s">
        <v>1022</v>
      </c>
      <c r="B611" s="168" t="s">
        <v>1023</v>
      </c>
      <c r="C611" s="95"/>
      <c r="D611" s="95"/>
      <c r="E611" s="95"/>
    </row>
    <row r="612" spans="1:5" x14ac:dyDescent="0.25">
      <c r="A612" s="159" t="s">
        <v>1024</v>
      </c>
      <c r="B612" s="168" t="s">
        <v>1025</v>
      </c>
      <c r="C612" s="95"/>
      <c r="D612" s="95"/>
      <c r="E612" s="95"/>
    </row>
    <row r="613" spans="1:5" x14ac:dyDescent="0.25">
      <c r="A613" s="159" t="s">
        <v>1026</v>
      </c>
      <c r="B613" s="168" t="s">
        <v>1027</v>
      </c>
      <c r="C613" s="95"/>
      <c r="D613" s="95"/>
      <c r="E613" s="95"/>
    </row>
    <row r="614" spans="1:5" x14ac:dyDescent="0.25">
      <c r="A614" s="159">
        <v>6000</v>
      </c>
      <c r="B614" s="168" t="s">
        <v>1028</v>
      </c>
      <c r="C614" s="95"/>
      <c r="D614" s="95"/>
      <c r="E614" s="95"/>
    </row>
    <row r="615" spans="1:5" x14ac:dyDescent="0.25">
      <c r="A615" s="159">
        <v>6001</v>
      </c>
      <c r="B615" s="168" t="s">
        <v>1029</v>
      </c>
      <c r="C615" s="95"/>
      <c r="D615" s="95"/>
      <c r="E615" s="95"/>
    </row>
    <row r="616" spans="1:5" x14ac:dyDescent="0.25">
      <c r="A616" s="159">
        <v>6002</v>
      </c>
      <c r="B616" s="168" t="s">
        <v>1030</v>
      </c>
      <c r="C616" s="95"/>
      <c r="D616" s="95"/>
      <c r="E616" s="95"/>
    </row>
    <row r="617" spans="1:5" x14ac:dyDescent="0.25">
      <c r="A617" s="159">
        <v>6003</v>
      </c>
      <c r="B617" s="168" t="s">
        <v>1031</v>
      </c>
      <c r="C617" s="95"/>
      <c r="D617" s="95"/>
      <c r="E617" s="95"/>
    </row>
    <row r="618" spans="1:5" x14ac:dyDescent="0.25">
      <c r="A618" s="159">
        <v>6004</v>
      </c>
      <c r="B618" s="168" t="s">
        <v>1032</v>
      </c>
      <c r="C618" s="95"/>
      <c r="D618" s="95"/>
      <c r="E618" s="95"/>
    </row>
    <row r="619" spans="1:5" x14ac:dyDescent="0.25">
      <c r="A619" s="180">
        <v>6005</v>
      </c>
      <c r="B619" s="181" t="s">
        <v>586</v>
      </c>
      <c r="C619" s="95"/>
      <c r="D619" s="95"/>
      <c r="E619" s="95"/>
    </row>
    <row r="620" spans="1:5" x14ac:dyDescent="0.25">
      <c r="A620" s="180">
        <v>6006</v>
      </c>
      <c r="B620" s="181" t="s">
        <v>588</v>
      </c>
      <c r="C620" s="95"/>
      <c r="D620" s="95"/>
      <c r="E620" s="95"/>
    </row>
    <row r="621" spans="1:5" x14ac:dyDescent="0.25">
      <c r="A621" s="171" t="s">
        <v>1033</v>
      </c>
      <c r="B621" s="182" t="s">
        <v>1034</v>
      </c>
      <c r="C621" s="95"/>
      <c r="D621" s="95"/>
      <c r="E621" s="95"/>
    </row>
    <row r="622" spans="1:5" ht="25.5" x14ac:dyDescent="0.25">
      <c r="A622" s="159">
        <v>7001</v>
      </c>
      <c r="B622" s="183" t="s">
        <v>1035</v>
      </c>
      <c r="C622" s="95"/>
      <c r="D622" s="95"/>
      <c r="E622" s="95"/>
    </row>
    <row r="623" spans="1:5" ht="25.5" x14ac:dyDescent="0.25">
      <c r="A623" s="159">
        <v>7002</v>
      </c>
      <c r="B623" s="183" t="s">
        <v>1036</v>
      </c>
      <c r="C623" s="95"/>
      <c r="D623" s="95"/>
      <c r="E623" s="95"/>
    </row>
    <row r="624" spans="1:5" ht="25.5" x14ac:dyDescent="0.25">
      <c r="A624" s="159">
        <v>7003</v>
      </c>
      <c r="B624" s="183" t="s">
        <v>1037</v>
      </c>
      <c r="C624" s="95"/>
      <c r="D624" s="95"/>
      <c r="E624" s="95"/>
    </row>
    <row r="625" spans="1:5" ht="25.5" x14ac:dyDescent="0.25">
      <c r="A625" s="159" t="s">
        <v>1038</v>
      </c>
      <c r="B625" s="183" t="s">
        <v>1039</v>
      </c>
      <c r="C625" s="95"/>
      <c r="D625" s="95"/>
      <c r="E625" s="95"/>
    </row>
    <row r="626" spans="1:5" ht="25.5" x14ac:dyDescent="0.25">
      <c r="A626" s="159" t="s">
        <v>1040</v>
      </c>
      <c r="B626" s="183" t="s">
        <v>1041</v>
      </c>
      <c r="C626" s="95"/>
      <c r="D626" s="95"/>
      <c r="E626" s="95"/>
    </row>
    <row r="627" spans="1:5" ht="25.5" x14ac:dyDescent="0.25">
      <c r="A627" s="159" t="s">
        <v>1042</v>
      </c>
      <c r="B627" s="183" t="s">
        <v>1043</v>
      </c>
      <c r="C627" s="95"/>
      <c r="D627" s="95"/>
      <c r="E627" s="95"/>
    </row>
    <row r="628" spans="1:5" ht="25.5" x14ac:dyDescent="0.25">
      <c r="A628" s="159" t="s">
        <v>1044</v>
      </c>
      <c r="B628" s="183" t="s">
        <v>1045</v>
      </c>
      <c r="C628" s="95"/>
      <c r="D628" s="95"/>
      <c r="E628" s="95"/>
    </row>
    <row r="629" spans="1:5" ht="25.5" x14ac:dyDescent="0.25">
      <c r="A629" s="159" t="s">
        <v>1046</v>
      </c>
      <c r="B629" s="183" t="s">
        <v>1047</v>
      </c>
      <c r="C629" s="95"/>
      <c r="D629" s="95"/>
      <c r="E629" s="95"/>
    </row>
    <row r="630" spans="1:5" ht="25.5" x14ac:dyDescent="0.25">
      <c r="A630" s="159" t="s">
        <v>1048</v>
      </c>
      <c r="B630" s="183" t="s">
        <v>1049</v>
      </c>
      <c r="C630" s="95"/>
      <c r="D630" s="95"/>
      <c r="E630" s="95"/>
    </row>
    <row r="631" spans="1:5" ht="25.5" x14ac:dyDescent="0.25">
      <c r="A631" s="159" t="s">
        <v>1050</v>
      </c>
      <c r="B631" s="183" t="s">
        <v>1051</v>
      </c>
      <c r="C631" s="95"/>
      <c r="D631" s="95"/>
      <c r="E631" s="95"/>
    </row>
    <row r="632" spans="1:5" ht="25.5" x14ac:dyDescent="0.25">
      <c r="A632" s="159" t="s">
        <v>1052</v>
      </c>
      <c r="B632" s="183" t="s">
        <v>1053</v>
      </c>
      <c r="C632" s="95"/>
      <c r="D632" s="95"/>
      <c r="E632" s="95"/>
    </row>
    <row r="633" spans="1:5" ht="26.25" x14ac:dyDescent="0.25">
      <c r="A633" s="159" t="s">
        <v>1054</v>
      </c>
      <c r="B633" s="103" t="s">
        <v>1055</v>
      </c>
      <c r="C633" s="95"/>
      <c r="D633" s="95"/>
      <c r="E633" s="95"/>
    </row>
    <row r="634" spans="1:5" x14ac:dyDescent="0.25">
      <c r="A634" s="159" t="s">
        <v>1056</v>
      </c>
      <c r="B634" s="168" t="s">
        <v>1057</v>
      </c>
      <c r="C634" s="95"/>
      <c r="D634" s="95"/>
      <c r="E634" s="95"/>
    </row>
    <row r="635" spans="1:5" x14ac:dyDescent="0.25">
      <c r="A635" s="159" t="s">
        <v>1058</v>
      </c>
      <c r="B635" s="168" t="s">
        <v>1059</v>
      </c>
      <c r="C635" s="95"/>
      <c r="D635" s="95"/>
      <c r="E635" s="95"/>
    </row>
    <row r="636" spans="1:5" x14ac:dyDescent="0.25">
      <c r="A636" s="159" t="s">
        <v>1060</v>
      </c>
      <c r="B636" s="168" t="s">
        <v>1061</v>
      </c>
      <c r="C636" s="95"/>
      <c r="D636" s="95"/>
      <c r="E636" s="95"/>
    </row>
    <row r="637" spans="1:5" x14ac:dyDescent="0.25">
      <c r="A637" s="159" t="s">
        <v>1062</v>
      </c>
      <c r="B637" s="168" t="s">
        <v>1063</v>
      </c>
      <c r="C637" s="95"/>
      <c r="D637" s="95"/>
      <c r="E637" s="95"/>
    </row>
    <row r="638" spans="1:5" x14ac:dyDescent="0.25">
      <c r="A638" s="159" t="s">
        <v>1064</v>
      </c>
      <c r="B638" s="168" t="s">
        <v>1065</v>
      </c>
      <c r="C638" s="95"/>
      <c r="D638" s="95"/>
      <c r="E638" s="95"/>
    </row>
    <row r="639" spans="1:5" x14ac:dyDescent="0.25">
      <c r="A639" s="159" t="s">
        <v>1066</v>
      </c>
      <c r="B639" s="168" t="s">
        <v>1067</v>
      </c>
      <c r="C639" s="95"/>
      <c r="D639" s="95"/>
      <c r="E639" s="95"/>
    </row>
    <row r="640" spans="1:5" x14ac:dyDescent="0.25">
      <c r="A640" s="159" t="s">
        <v>1068</v>
      </c>
      <c r="B640" s="168" t="s">
        <v>1069</v>
      </c>
      <c r="C640" s="95"/>
      <c r="D640" s="95"/>
      <c r="E640" s="95"/>
    </row>
    <row r="641" spans="1:5" x14ac:dyDescent="0.25">
      <c r="A641" s="159" t="s">
        <v>1070</v>
      </c>
      <c r="B641" s="179" t="s">
        <v>1071</v>
      </c>
      <c r="C641" s="95"/>
      <c r="D641" s="95"/>
      <c r="E641" s="95"/>
    </row>
    <row r="642" spans="1:5" x14ac:dyDescent="0.25">
      <c r="A642" s="159" t="s">
        <v>1072</v>
      </c>
      <c r="B642" s="168" t="s">
        <v>1073</v>
      </c>
      <c r="C642" s="95"/>
      <c r="D642" s="95"/>
      <c r="E642" s="95"/>
    </row>
    <row r="643" spans="1:5" x14ac:dyDescent="0.25">
      <c r="A643" s="159" t="s">
        <v>1074</v>
      </c>
      <c r="B643" s="168" t="s">
        <v>1075</v>
      </c>
      <c r="C643" s="95"/>
      <c r="D643" s="95"/>
      <c r="E643" s="95"/>
    </row>
    <row r="644" spans="1:5" x14ac:dyDescent="0.25">
      <c r="A644" s="159" t="s">
        <v>1076</v>
      </c>
      <c r="B644" s="168" t="s">
        <v>1077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1078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1079</v>
      </c>
      <c r="C649" s="95"/>
      <c r="D649" s="95"/>
      <c r="E649" s="95"/>
    </row>
    <row r="650" spans="1:5" x14ac:dyDescent="0.25">
      <c r="A650" s="159">
        <v>2</v>
      </c>
      <c r="B650" s="168" t="s">
        <v>1080</v>
      </c>
      <c r="C650" s="95"/>
      <c r="D650" s="95"/>
      <c r="E650" s="95"/>
    </row>
    <row r="651" spans="1:5" x14ac:dyDescent="0.25">
      <c r="A651" s="159">
        <v>3</v>
      </c>
      <c r="B651" s="168" t="s">
        <v>1081</v>
      </c>
      <c r="C651" s="95"/>
      <c r="D651" s="95"/>
      <c r="E651" s="95"/>
    </row>
    <row r="652" spans="1:5" x14ac:dyDescent="0.25">
      <c r="A652" s="159">
        <v>4</v>
      </c>
      <c r="B652" s="168" t="s">
        <v>1082</v>
      </c>
      <c r="C652" s="95"/>
      <c r="D652" s="95"/>
      <c r="E652" s="95"/>
    </row>
    <row r="653" spans="1:5" x14ac:dyDescent="0.25">
      <c r="A653" s="159">
        <v>5</v>
      </c>
      <c r="B653" s="168" t="s">
        <v>1083</v>
      </c>
      <c r="C653" s="95"/>
      <c r="D653" s="95"/>
      <c r="E653" s="95"/>
    </row>
    <row r="654" spans="1:5" x14ac:dyDescent="0.25">
      <c r="A654" s="159" t="s">
        <v>105</v>
      </c>
      <c r="B654" s="168" t="s">
        <v>1084</v>
      </c>
      <c r="C654" s="95"/>
      <c r="D654" s="95"/>
      <c r="E654" s="95"/>
    </row>
    <row r="655" spans="1:5" x14ac:dyDescent="0.25">
      <c r="A655" s="159" t="s">
        <v>106</v>
      </c>
      <c r="B655" s="168" t="s">
        <v>1085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1086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1087</v>
      </c>
      <c r="C660" s="95"/>
      <c r="D660" s="95"/>
      <c r="E660" s="95"/>
    </row>
    <row r="661" spans="1:5" x14ac:dyDescent="0.25">
      <c r="A661" s="159">
        <v>2</v>
      </c>
      <c r="B661" s="168" t="s">
        <v>1088</v>
      </c>
      <c r="C661" s="95"/>
      <c r="D661" s="95"/>
      <c r="E661" s="95"/>
    </row>
    <row r="662" spans="1:5" x14ac:dyDescent="0.25">
      <c r="A662" s="159">
        <v>3</v>
      </c>
      <c r="B662" s="168" t="s">
        <v>1089</v>
      </c>
      <c r="C662" s="95"/>
      <c r="D662" s="95"/>
      <c r="E662" s="95"/>
    </row>
    <row r="663" spans="1:5" x14ac:dyDescent="0.25">
      <c r="A663" s="159">
        <v>4</v>
      </c>
      <c r="B663" s="168" t="s">
        <v>1090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1091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1092</v>
      </c>
      <c r="C668" s="95"/>
      <c r="D668" s="95"/>
      <c r="E668" s="95"/>
    </row>
    <row r="669" spans="1:5" x14ac:dyDescent="0.25">
      <c r="A669" s="159">
        <v>2</v>
      </c>
      <c r="B669" s="168" t="s">
        <v>1093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1094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807</v>
      </c>
      <c r="B674" s="103" t="s">
        <v>1095</v>
      </c>
      <c r="C674" s="95"/>
      <c r="D674" s="95"/>
      <c r="E674" s="95"/>
    </row>
    <row r="675" spans="1:5" x14ac:dyDescent="0.25">
      <c r="A675" s="159" t="s">
        <v>809</v>
      </c>
      <c r="B675" s="103" t="s">
        <v>1096</v>
      </c>
      <c r="C675" s="95"/>
      <c r="D675" s="95"/>
      <c r="E675" s="95"/>
    </row>
    <row r="676" spans="1:5" x14ac:dyDescent="0.25">
      <c r="A676" s="159" t="s">
        <v>811</v>
      </c>
      <c r="B676" s="103" t="s">
        <v>1097</v>
      </c>
      <c r="C676" s="95"/>
      <c r="D676" s="95"/>
      <c r="E676" s="95"/>
    </row>
    <row r="677" spans="1:5" x14ac:dyDescent="0.25">
      <c r="A677" s="159" t="s">
        <v>813</v>
      </c>
      <c r="B677" s="103" t="s">
        <v>1098</v>
      </c>
      <c r="C677" s="95"/>
      <c r="D677" s="95"/>
      <c r="E677" s="95"/>
    </row>
    <row r="678" spans="1:5" x14ac:dyDescent="0.25">
      <c r="A678" s="159" t="s">
        <v>815</v>
      </c>
      <c r="B678" s="103" t="s">
        <v>1099</v>
      </c>
      <c r="C678" s="95"/>
      <c r="D678" s="95"/>
      <c r="E678" s="95"/>
    </row>
    <row r="679" spans="1:5" x14ac:dyDescent="0.25">
      <c r="A679" s="159" t="s">
        <v>1100</v>
      </c>
      <c r="B679" s="103" t="s">
        <v>1101</v>
      </c>
      <c r="C679" s="95"/>
      <c r="D679" s="95"/>
      <c r="E679" s="95"/>
    </row>
    <row r="680" spans="1:5" ht="26.25" x14ac:dyDescent="0.25">
      <c r="A680" s="159" t="s">
        <v>817</v>
      </c>
      <c r="B680" s="103" t="s">
        <v>1102</v>
      </c>
      <c r="C680" s="95"/>
      <c r="D680" s="95"/>
      <c r="E680" s="95"/>
    </row>
    <row r="681" spans="1:5" x14ac:dyDescent="0.25">
      <c r="A681" s="159" t="s">
        <v>819</v>
      </c>
      <c r="B681" s="103" t="s">
        <v>1103</v>
      </c>
      <c r="C681" s="95"/>
      <c r="D681" s="95"/>
      <c r="E681" s="95"/>
    </row>
    <row r="682" spans="1:5" x14ac:dyDescent="0.25">
      <c r="A682" s="159" t="s">
        <v>821</v>
      </c>
      <c r="B682" s="103" t="s">
        <v>1104</v>
      </c>
      <c r="C682" s="95"/>
      <c r="D682" s="95"/>
      <c r="E682" s="95"/>
    </row>
    <row r="683" spans="1:5" x14ac:dyDescent="0.25">
      <c r="A683" s="159" t="s">
        <v>823</v>
      </c>
      <c r="B683" s="103" t="s">
        <v>1105</v>
      </c>
      <c r="C683" s="95"/>
      <c r="D683" s="95"/>
      <c r="E683" s="95"/>
    </row>
    <row r="684" spans="1:5" ht="26.25" x14ac:dyDescent="0.25">
      <c r="A684" s="159" t="s">
        <v>825</v>
      </c>
      <c r="B684" s="103" t="s">
        <v>1106</v>
      </c>
      <c r="C684" s="95"/>
      <c r="D684" s="95"/>
      <c r="E684" s="95"/>
    </row>
    <row r="685" spans="1:5" ht="39" x14ac:dyDescent="0.25">
      <c r="A685" s="159" t="s">
        <v>827</v>
      </c>
      <c r="B685" s="103" t="s">
        <v>1107</v>
      </c>
      <c r="C685" s="95"/>
      <c r="D685" s="95"/>
      <c r="E685" s="95"/>
    </row>
    <row r="686" spans="1:5" ht="26.25" x14ac:dyDescent="0.25">
      <c r="A686" s="159" t="s">
        <v>829</v>
      </c>
      <c r="B686" s="103" t="s">
        <v>1108</v>
      </c>
      <c r="C686" s="95"/>
      <c r="D686" s="95"/>
      <c r="E686" s="95"/>
    </row>
    <row r="687" spans="1:5" x14ac:dyDescent="0.25">
      <c r="A687" s="159" t="s">
        <v>1109</v>
      </c>
      <c r="B687" s="103" t="s">
        <v>1110</v>
      </c>
      <c r="C687" s="95"/>
      <c r="D687" s="95"/>
      <c r="E687" s="95"/>
    </row>
    <row r="688" spans="1:5" x14ac:dyDescent="0.25">
      <c r="A688" s="159" t="s">
        <v>1111</v>
      </c>
      <c r="B688" s="103" t="s">
        <v>1112</v>
      </c>
      <c r="C688" s="95"/>
      <c r="D688" s="95"/>
      <c r="E688" s="95"/>
    </row>
    <row r="689" spans="1:5" x14ac:dyDescent="0.25">
      <c r="A689" s="159" t="s">
        <v>1113</v>
      </c>
      <c r="B689" s="103" t="s">
        <v>1114</v>
      </c>
      <c r="C689" s="95"/>
      <c r="D689" s="95"/>
      <c r="E689" s="95"/>
    </row>
    <row r="690" spans="1:5" x14ac:dyDescent="0.25">
      <c r="A690" s="159" t="s">
        <v>1115</v>
      </c>
      <c r="B690" s="103" t="s">
        <v>1116</v>
      </c>
      <c r="C690" s="95"/>
      <c r="D690" s="95"/>
      <c r="E690" s="95"/>
    </row>
    <row r="691" spans="1:5" x14ac:dyDescent="0.25">
      <c r="A691" s="159" t="s">
        <v>1117</v>
      </c>
      <c r="B691" s="103" t="s">
        <v>1118</v>
      </c>
      <c r="C691" s="95"/>
      <c r="D691" s="95"/>
      <c r="E691" s="95"/>
    </row>
    <row r="692" spans="1:5" x14ac:dyDescent="0.25">
      <c r="A692" s="159" t="s">
        <v>1119</v>
      </c>
      <c r="B692" s="103" t="s">
        <v>1120</v>
      </c>
      <c r="C692" s="95"/>
      <c r="D692" s="95"/>
      <c r="E692" s="95"/>
    </row>
    <row r="693" spans="1:5" x14ac:dyDescent="0.25">
      <c r="A693" s="159" t="s">
        <v>1121</v>
      </c>
      <c r="B693" s="103" t="s">
        <v>1122</v>
      </c>
      <c r="C693" s="95"/>
      <c r="D693" s="95"/>
      <c r="E693" s="95"/>
    </row>
    <row r="694" spans="1:5" x14ac:dyDescent="0.25">
      <c r="A694" s="159" t="s">
        <v>1123</v>
      </c>
      <c r="B694" s="103" t="s">
        <v>1124</v>
      </c>
      <c r="C694" s="95"/>
      <c r="D694" s="95"/>
      <c r="E694" s="95"/>
    </row>
    <row r="695" spans="1:5" x14ac:dyDescent="0.25">
      <c r="A695" s="159" t="s">
        <v>1125</v>
      </c>
      <c r="B695" s="103" t="s">
        <v>1126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1127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1128</v>
      </c>
    </row>
    <row r="702" spans="1:5" x14ac:dyDescent="0.25">
      <c r="A702" s="159" t="s">
        <v>214</v>
      </c>
      <c r="B702" s="184" t="s">
        <v>1129</v>
      </c>
    </row>
    <row r="703" spans="1:5" x14ac:dyDescent="0.25">
      <c r="A703" s="159" t="s">
        <v>36</v>
      </c>
      <c r="B703" s="184" t="s">
        <v>1130</v>
      </c>
    </row>
    <row r="704" spans="1:5" x14ac:dyDescent="0.25">
      <c r="A704" s="159" t="s">
        <v>215</v>
      </c>
      <c r="B704" s="184" t="s">
        <v>1131</v>
      </c>
    </row>
    <row r="705" spans="1:3" x14ac:dyDescent="0.25">
      <c r="A705" s="159" t="s">
        <v>339</v>
      </c>
      <c r="B705" s="184" t="s">
        <v>491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1132</v>
      </c>
    </row>
    <row r="709" spans="1:3" x14ac:dyDescent="0.25">
      <c r="A709" s="100" t="s">
        <v>152</v>
      </c>
      <c r="B709" s="101" t="s">
        <v>390</v>
      </c>
      <c r="C709" s="101" t="s">
        <v>1133</v>
      </c>
    </row>
    <row r="710" spans="1:3" x14ac:dyDescent="0.25">
      <c r="A710" s="159" t="s">
        <v>98</v>
      </c>
      <c r="B710" s="185" t="s">
        <v>336</v>
      </c>
      <c r="C710" s="159" t="s">
        <v>1134</v>
      </c>
    </row>
    <row r="711" spans="1:3" x14ac:dyDescent="0.25">
      <c r="A711" s="159" t="s">
        <v>36</v>
      </c>
      <c r="B711" s="185" t="s">
        <v>1135</v>
      </c>
      <c r="C711" s="159" t="s">
        <v>1134</v>
      </c>
    </row>
    <row r="712" spans="1:3" x14ac:dyDescent="0.25">
      <c r="A712" s="159" t="s">
        <v>215</v>
      </c>
      <c r="B712" s="185" t="s">
        <v>1136</v>
      </c>
      <c r="C712" s="159" t="s">
        <v>1134</v>
      </c>
    </row>
    <row r="713" spans="1:3" x14ac:dyDescent="0.25">
      <c r="A713" s="159" t="s">
        <v>345</v>
      </c>
      <c r="B713" s="185" t="s">
        <v>1137</v>
      </c>
      <c r="C713" s="159" t="s">
        <v>1134</v>
      </c>
    </row>
    <row r="714" spans="1:3" x14ac:dyDescent="0.25">
      <c r="A714" s="159">
        <v>12</v>
      </c>
      <c r="B714" s="185" t="s">
        <v>1138</v>
      </c>
      <c r="C714" s="159" t="s">
        <v>1134</v>
      </c>
    </row>
    <row r="715" spans="1:3" x14ac:dyDescent="0.25">
      <c r="A715" s="159">
        <v>31</v>
      </c>
      <c r="B715" s="185" t="s">
        <v>1139</v>
      </c>
      <c r="C715" s="159" t="s">
        <v>1140</v>
      </c>
    </row>
    <row r="716" spans="1:3" x14ac:dyDescent="0.25">
      <c r="A716" s="159">
        <v>48</v>
      </c>
      <c r="B716" s="185" t="s">
        <v>1141</v>
      </c>
      <c r="C716" s="159" t="s">
        <v>1134</v>
      </c>
    </row>
    <row r="717" spans="1:3" x14ac:dyDescent="0.25">
      <c r="A717" s="159">
        <v>49</v>
      </c>
      <c r="B717" s="185" t="s">
        <v>1142</v>
      </c>
      <c r="C717" s="159" t="s">
        <v>1143</v>
      </c>
    </row>
    <row r="718" spans="1:3" x14ac:dyDescent="0.25">
      <c r="A718" s="159">
        <v>50</v>
      </c>
      <c r="B718" s="185" t="s">
        <v>1144</v>
      </c>
      <c r="C718" s="159" t="s">
        <v>1134</v>
      </c>
    </row>
    <row r="719" spans="1:3" x14ac:dyDescent="0.25">
      <c r="A719" s="159">
        <v>52</v>
      </c>
      <c r="B719" s="185" t="s">
        <v>1145</v>
      </c>
      <c r="C719" s="159" t="s">
        <v>1134</v>
      </c>
    </row>
    <row r="720" spans="1:3" x14ac:dyDescent="0.25">
      <c r="A720" s="159">
        <v>65</v>
      </c>
      <c r="B720" s="185" t="s">
        <v>1146</v>
      </c>
      <c r="C720" s="159" t="s">
        <v>1140</v>
      </c>
    </row>
    <row r="721" spans="1:3" ht="12.75" customHeight="1" x14ac:dyDescent="0.25">
      <c r="A721" s="159">
        <v>66</v>
      </c>
      <c r="B721" s="185" t="s">
        <v>1147</v>
      </c>
      <c r="C721" s="159" t="s">
        <v>1140</v>
      </c>
    </row>
    <row r="722" spans="1:3" ht="12.75" customHeight="1" x14ac:dyDescent="0.25">
      <c r="A722" s="159">
        <v>67</v>
      </c>
      <c r="B722" s="185" t="s">
        <v>1148</v>
      </c>
      <c r="C722" s="159" t="s">
        <v>1140</v>
      </c>
    </row>
    <row r="723" spans="1:3" ht="12.75" customHeight="1" x14ac:dyDescent="0.25">
      <c r="A723" s="159">
        <v>68</v>
      </c>
      <c r="B723" s="185" t="s">
        <v>1149</v>
      </c>
      <c r="C723" s="159" t="s">
        <v>1140</v>
      </c>
    </row>
    <row r="724" spans="1:3" ht="12.75" customHeight="1" x14ac:dyDescent="0.25">
      <c r="A724" s="159">
        <v>69</v>
      </c>
      <c r="B724" s="185" t="s">
        <v>1150</v>
      </c>
      <c r="C724" s="159" t="s">
        <v>1140</v>
      </c>
    </row>
    <row r="725" spans="1:3" ht="12.75" customHeight="1" x14ac:dyDescent="0.25">
      <c r="A725" s="159">
        <v>71</v>
      </c>
      <c r="B725" s="185" t="s">
        <v>1151</v>
      </c>
      <c r="C725" s="159" t="s">
        <v>1143</v>
      </c>
    </row>
    <row r="726" spans="1:3" ht="12.75" customHeight="1" x14ac:dyDescent="0.25">
      <c r="A726" s="159">
        <v>72</v>
      </c>
      <c r="B726" s="185" t="s">
        <v>1152</v>
      </c>
      <c r="C726" s="159" t="s">
        <v>1143</v>
      </c>
    </row>
    <row r="727" spans="1:3" ht="12.75" customHeight="1" x14ac:dyDescent="0.25">
      <c r="A727" s="159">
        <v>73</v>
      </c>
      <c r="B727" s="185" t="s">
        <v>1153</v>
      </c>
      <c r="C727" s="159" t="s">
        <v>1143</v>
      </c>
    </row>
    <row r="728" spans="1:3" ht="12.75" customHeight="1" x14ac:dyDescent="0.25">
      <c r="A728" s="159">
        <v>74</v>
      </c>
      <c r="B728" s="185" t="s">
        <v>1154</v>
      </c>
      <c r="C728" s="159" t="s">
        <v>1143</v>
      </c>
    </row>
    <row r="729" spans="1:3" ht="12.75" customHeight="1" x14ac:dyDescent="0.25">
      <c r="A729" s="159">
        <v>75</v>
      </c>
      <c r="B729" s="185" t="s">
        <v>1155</v>
      </c>
      <c r="C729" s="159" t="s">
        <v>1143</v>
      </c>
    </row>
    <row r="730" spans="1:3" ht="12.75" customHeight="1" x14ac:dyDescent="0.25">
      <c r="A730" s="159">
        <v>76</v>
      </c>
      <c r="B730" s="185" t="s">
        <v>1156</v>
      </c>
      <c r="C730" s="159" t="s">
        <v>1143</v>
      </c>
    </row>
    <row r="731" spans="1:3" ht="12.75" customHeight="1" x14ac:dyDescent="0.25">
      <c r="A731" s="159">
        <v>77</v>
      </c>
      <c r="B731" s="185" t="s">
        <v>1157</v>
      </c>
      <c r="C731" s="159" t="s">
        <v>1143</v>
      </c>
    </row>
    <row r="732" spans="1:3" ht="12.75" customHeight="1" x14ac:dyDescent="0.25">
      <c r="A732" s="159">
        <v>78</v>
      </c>
      <c r="B732" s="185" t="s">
        <v>1158</v>
      </c>
      <c r="C732" s="159" t="s">
        <v>1143</v>
      </c>
    </row>
    <row r="733" spans="1:3" ht="12.75" customHeight="1" x14ac:dyDescent="0.25">
      <c r="A733" s="159">
        <v>80</v>
      </c>
      <c r="B733" s="185" t="s">
        <v>1159</v>
      </c>
      <c r="C733" s="159" t="s">
        <v>1134</v>
      </c>
    </row>
    <row r="734" spans="1:3" ht="12.75" customHeight="1" x14ac:dyDescent="0.25">
      <c r="A734" s="159">
        <v>81</v>
      </c>
      <c r="B734" s="185" t="s">
        <v>1160</v>
      </c>
      <c r="C734" s="159" t="s">
        <v>1143</v>
      </c>
    </row>
    <row r="735" spans="1:3" ht="12.75" customHeight="1" x14ac:dyDescent="0.25">
      <c r="A735" s="159">
        <v>82</v>
      </c>
      <c r="B735" s="185" t="s">
        <v>1161</v>
      </c>
      <c r="C735" s="159" t="s">
        <v>1140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1162</v>
      </c>
    </row>
    <row r="740" spans="1:3" ht="12.75" customHeight="1" x14ac:dyDescent="0.25">
      <c r="A740" s="243" t="s">
        <v>1071</v>
      </c>
      <c r="B740" s="186" t="s">
        <v>153</v>
      </c>
      <c r="C740" s="244" t="s">
        <v>754</v>
      </c>
    </row>
    <row r="741" spans="1:3" ht="12.75" customHeight="1" x14ac:dyDescent="0.25">
      <c r="A741" s="243"/>
      <c r="B741" s="186" t="s">
        <v>1071</v>
      </c>
      <c r="C741" s="244"/>
    </row>
    <row r="742" spans="1:3" ht="12.75" customHeight="1" x14ac:dyDescent="0.25">
      <c r="A742" s="159">
        <v>1701130000</v>
      </c>
      <c r="B742" s="185" t="s">
        <v>1163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1164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1165</v>
      </c>
      <c r="C744" s="159">
        <v>50161509</v>
      </c>
    </row>
    <row r="745" spans="1:3" ht="12.75" customHeight="1" x14ac:dyDescent="0.25">
      <c r="A745" s="159" t="s">
        <v>1166</v>
      </c>
      <c r="B745" s="185" t="s">
        <v>1167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1168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1169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1170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1167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1171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1172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1173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1174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1175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1176</v>
      </c>
    </row>
    <row r="759" spans="1:3" ht="12.75" customHeight="1" x14ac:dyDescent="0.25">
      <c r="A759" s="100" t="s">
        <v>152</v>
      </c>
      <c r="B759" s="101" t="s">
        <v>390</v>
      </c>
      <c r="C759" s="101" t="s">
        <v>1177</v>
      </c>
    </row>
    <row r="760" spans="1:3" ht="12.75" customHeight="1" x14ac:dyDescent="0.25">
      <c r="A760" s="159" t="s">
        <v>1178</v>
      </c>
      <c r="B760" s="185" t="s">
        <v>1179</v>
      </c>
      <c r="C760" s="159">
        <v>200801</v>
      </c>
    </row>
    <row r="761" spans="1:3" ht="12.75" customHeight="1" x14ac:dyDescent="0.25">
      <c r="A761" s="159" t="s">
        <v>1180</v>
      </c>
      <c r="B761" s="185" t="s">
        <v>1181</v>
      </c>
      <c r="C761" s="159" t="s">
        <v>1182</v>
      </c>
    </row>
    <row r="762" spans="1:3" ht="12.75" customHeight="1" x14ac:dyDescent="0.25">
      <c r="A762" s="159" t="s">
        <v>1183</v>
      </c>
      <c r="B762" s="185" t="s">
        <v>1184</v>
      </c>
      <c r="C762" s="159">
        <v>150119</v>
      </c>
    </row>
    <row r="763" spans="1:3" ht="12.75" customHeight="1" x14ac:dyDescent="0.25">
      <c r="A763" s="159" t="s">
        <v>1185</v>
      </c>
      <c r="B763" s="185" t="s">
        <v>1186</v>
      </c>
      <c r="C763" s="159">
        <v>150605</v>
      </c>
    </row>
    <row r="764" spans="1:3" ht="12.75" customHeight="1" x14ac:dyDescent="0.25">
      <c r="A764" s="159" t="s">
        <v>1187</v>
      </c>
      <c r="B764" s="185" t="s">
        <v>1188</v>
      </c>
      <c r="C764" s="159" t="s">
        <v>1189</v>
      </c>
    </row>
    <row r="765" spans="1:3" ht="12.75" customHeight="1" x14ac:dyDescent="0.25">
      <c r="A765" s="159" t="s">
        <v>1190</v>
      </c>
      <c r="B765" s="185" t="s">
        <v>1191</v>
      </c>
      <c r="C765" s="159">
        <v>140113</v>
      </c>
    </row>
    <row r="766" spans="1:3" ht="12.75" customHeight="1" x14ac:dyDescent="0.25">
      <c r="A766" s="159" t="s">
        <v>1192</v>
      </c>
      <c r="B766" s="185" t="s">
        <v>1193</v>
      </c>
      <c r="C766" s="159">
        <v>150801</v>
      </c>
    </row>
    <row r="767" spans="1:3" ht="12.75" customHeight="1" x14ac:dyDescent="0.25">
      <c r="A767" s="159" t="s">
        <v>1194</v>
      </c>
      <c r="B767" s="185" t="s">
        <v>1195</v>
      </c>
      <c r="C767" s="159" t="s">
        <v>1196</v>
      </c>
    </row>
    <row r="768" spans="1:3" ht="12.75" customHeight="1" x14ac:dyDescent="0.25">
      <c r="A768" s="159" t="s">
        <v>1197</v>
      </c>
      <c r="B768" s="185" t="s">
        <v>1198</v>
      </c>
      <c r="C768" s="159">
        <v>180301</v>
      </c>
    </row>
    <row r="769" spans="1:3" ht="12.75" customHeight="1" x14ac:dyDescent="0.25">
      <c r="A769" s="159" t="s">
        <v>1199</v>
      </c>
      <c r="B769" s="185" t="s">
        <v>1200</v>
      </c>
      <c r="C769" s="159">
        <v>160101</v>
      </c>
    </row>
    <row r="770" spans="1:3" ht="12.75" customHeight="1" x14ac:dyDescent="0.25">
      <c r="A770" s="159" t="s">
        <v>1201</v>
      </c>
      <c r="B770" s="185" t="s">
        <v>1202</v>
      </c>
      <c r="C770" s="159" t="s">
        <v>1203</v>
      </c>
    </row>
    <row r="771" spans="1:3" ht="12.75" customHeight="1" x14ac:dyDescent="0.25">
      <c r="A771" s="159" t="s">
        <v>1204</v>
      </c>
      <c r="B771" s="185" t="s">
        <v>1205</v>
      </c>
      <c r="C771" s="159">
        <v>200501</v>
      </c>
    </row>
    <row r="772" spans="1:3" ht="12.75" customHeight="1" x14ac:dyDescent="0.25">
      <c r="A772" s="159" t="s">
        <v>1206</v>
      </c>
      <c r="B772" s="185" t="s">
        <v>1207</v>
      </c>
      <c r="C772" s="159">
        <v>110505</v>
      </c>
    </row>
    <row r="773" spans="1:3" ht="12.75" customHeight="1" x14ac:dyDescent="0.25">
      <c r="A773" s="159" t="s">
        <v>1208</v>
      </c>
      <c r="B773" s="185" t="s">
        <v>1209</v>
      </c>
      <c r="C773" s="159">
        <v>250101</v>
      </c>
    </row>
    <row r="774" spans="1:3" ht="12.75" customHeight="1" x14ac:dyDescent="0.25">
      <c r="A774" s="159" t="s">
        <v>1210</v>
      </c>
      <c r="B774" s="185" t="s">
        <v>1211</v>
      </c>
      <c r="C774" s="159">
        <v>210101</v>
      </c>
    </row>
    <row r="775" spans="1:3" ht="12.75" customHeight="1" x14ac:dyDescent="0.25">
      <c r="A775" s="159" t="s">
        <v>1212</v>
      </c>
      <c r="B775" s="185" t="s">
        <v>1213</v>
      </c>
      <c r="C775" s="159">
        <v>130109</v>
      </c>
    </row>
    <row r="776" spans="1:3" ht="12.75" customHeight="1" x14ac:dyDescent="0.25">
      <c r="A776" s="159" t="s">
        <v>1214</v>
      </c>
      <c r="B776" s="185" t="s">
        <v>1215</v>
      </c>
      <c r="C776" s="159">
        <v>110304</v>
      </c>
    </row>
    <row r="777" spans="1:3" ht="12.75" customHeight="1" x14ac:dyDescent="0.25">
      <c r="A777" s="159" t="s">
        <v>1216</v>
      </c>
      <c r="B777" s="185" t="s">
        <v>1217</v>
      </c>
      <c r="C777" s="159">
        <v>150204</v>
      </c>
    </row>
    <row r="778" spans="1:3" ht="12.75" customHeight="1" x14ac:dyDescent="0.25">
      <c r="A778" s="159" t="s">
        <v>1218</v>
      </c>
      <c r="B778" s="185" t="s">
        <v>1219</v>
      </c>
      <c r="C778" s="159">
        <v>200701</v>
      </c>
    </row>
    <row r="779" spans="1:3" ht="12.75" customHeight="1" x14ac:dyDescent="0.25">
      <c r="A779" s="159" t="s">
        <v>1220</v>
      </c>
      <c r="B779" s="185" t="s">
        <v>1221</v>
      </c>
      <c r="C779" s="159">
        <v>160201</v>
      </c>
    </row>
    <row r="780" spans="1:3" ht="12.75" customHeight="1" x14ac:dyDescent="0.25">
      <c r="A780" s="159" t="s">
        <v>1222</v>
      </c>
      <c r="B780" s="185" t="s">
        <v>1223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1224</v>
      </c>
    </row>
    <row r="785" spans="1:3" ht="12.75" customHeight="1" x14ac:dyDescent="0.25">
      <c r="A785" s="100" t="s">
        <v>152</v>
      </c>
      <c r="B785" s="101" t="s">
        <v>390</v>
      </c>
      <c r="C785" s="101" t="s">
        <v>1177</v>
      </c>
    </row>
    <row r="786" spans="1:3" ht="12.75" customHeight="1" x14ac:dyDescent="0.25">
      <c r="A786" s="159" t="s">
        <v>1225</v>
      </c>
      <c r="B786" s="185" t="s">
        <v>1226</v>
      </c>
      <c r="C786" s="159" t="s">
        <v>1227</v>
      </c>
    </row>
    <row r="787" spans="1:3" ht="12.75" customHeight="1" x14ac:dyDescent="0.25">
      <c r="A787" s="159" t="s">
        <v>1228</v>
      </c>
      <c r="B787" s="185" t="s">
        <v>1229</v>
      </c>
      <c r="C787" s="159" t="s">
        <v>1230</v>
      </c>
    </row>
    <row r="788" spans="1:3" ht="12.75" customHeight="1" x14ac:dyDescent="0.25">
      <c r="A788" s="159" t="s">
        <v>1231</v>
      </c>
      <c r="B788" s="185" t="s">
        <v>1232</v>
      </c>
      <c r="C788" s="159" t="s">
        <v>1233</v>
      </c>
    </row>
    <row r="789" spans="1:3" ht="12.75" customHeight="1" x14ac:dyDescent="0.25">
      <c r="A789" s="159" t="s">
        <v>1234</v>
      </c>
      <c r="B789" s="185" t="s">
        <v>1235</v>
      </c>
      <c r="C789" s="159" t="s">
        <v>1236</v>
      </c>
    </row>
    <row r="790" spans="1:3" ht="12.75" customHeight="1" x14ac:dyDescent="0.25">
      <c r="A790" s="159" t="s">
        <v>1237</v>
      </c>
      <c r="B790" s="185" t="s">
        <v>1238</v>
      </c>
      <c r="C790" s="159" t="s">
        <v>1239</v>
      </c>
    </row>
    <row r="791" spans="1:3" ht="12.75" customHeight="1" x14ac:dyDescent="0.25">
      <c r="A791" s="159" t="s">
        <v>1187</v>
      </c>
      <c r="B791" s="185" t="s">
        <v>1240</v>
      </c>
      <c r="C791" s="159" t="s">
        <v>1241</v>
      </c>
    </row>
    <row r="792" spans="1:3" ht="12.75" customHeight="1" x14ac:dyDescent="0.25">
      <c r="A792" s="159" t="s">
        <v>1242</v>
      </c>
      <c r="B792" s="185" t="s">
        <v>1243</v>
      </c>
      <c r="C792" s="159" t="s">
        <v>1244</v>
      </c>
    </row>
    <row r="793" spans="1:3" ht="12.75" customHeight="1" x14ac:dyDescent="0.25">
      <c r="A793" s="159" t="s">
        <v>1245</v>
      </c>
      <c r="B793" s="185" t="s">
        <v>1246</v>
      </c>
      <c r="C793" s="159" t="s">
        <v>1247</v>
      </c>
    </row>
    <row r="794" spans="1:3" ht="12.75" customHeight="1" x14ac:dyDescent="0.25">
      <c r="A794" s="159" t="s">
        <v>1248</v>
      </c>
      <c r="B794" s="185" t="s">
        <v>1249</v>
      </c>
      <c r="C794" s="159">
        <v>140101</v>
      </c>
    </row>
    <row r="795" spans="1:3" ht="12.75" customHeight="1" x14ac:dyDescent="0.25">
      <c r="A795" s="159" t="s">
        <v>1250</v>
      </c>
      <c r="B795" s="185" t="s">
        <v>1251</v>
      </c>
      <c r="C795" s="159">
        <v>100101</v>
      </c>
    </row>
    <row r="796" spans="1:3" ht="12.75" customHeight="1" x14ac:dyDescent="0.25">
      <c r="A796" s="159" t="s">
        <v>1252</v>
      </c>
      <c r="B796" s="185" t="s">
        <v>1198</v>
      </c>
      <c r="C796" s="159">
        <v>180301</v>
      </c>
    </row>
    <row r="797" spans="1:3" ht="12.75" customHeight="1" x14ac:dyDescent="0.25">
      <c r="A797" s="159" t="s">
        <v>1199</v>
      </c>
      <c r="B797" s="187" t="s">
        <v>1253</v>
      </c>
      <c r="C797" s="159">
        <v>160101</v>
      </c>
    </row>
    <row r="798" spans="1:3" ht="12.75" customHeight="1" x14ac:dyDescent="0.25">
      <c r="A798" s="159" t="s">
        <v>1254</v>
      </c>
      <c r="B798" s="185" t="s">
        <v>1255</v>
      </c>
      <c r="C798" s="159" t="s">
        <v>1256</v>
      </c>
    </row>
    <row r="799" spans="1:3" ht="12.75" customHeight="1" x14ac:dyDescent="0.25">
      <c r="A799" s="159" t="s">
        <v>1257</v>
      </c>
      <c r="B799" s="185" t="s">
        <v>1258</v>
      </c>
      <c r="C799" s="159">
        <v>220601</v>
      </c>
    </row>
    <row r="800" spans="1:3" ht="12.75" customHeight="1" x14ac:dyDescent="0.25">
      <c r="A800" s="159" t="s">
        <v>1259</v>
      </c>
      <c r="B800" s="185" t="s">
        <v>1260</v>
      </c>
      <c r="C800" s="159">
        <v>211101</v>
      </c>
    </row>
    <row r="801" spans="1:3" ht="12.75" customHeight="1" x14ac:dyDescent="0.25">
      <c r="A801" s="159" t="s">
        <v>1261</v>
      </c>
      <c r="B801" s="185" t="s">
        <v>1262</v>
      </c>
      <c r="C801" s="159">
        <v>120430</v>
      </c>
    </row>
    <row r="802" spans="1:3" ht="12.75" customHeight="1" x14ac:dyDescent="0.25">
      <c r="A802" s="159" t="s">
        <v>1263</v>
      </c>
      <c r="B802" s="185" t="s">
        <v>1264</v>
      </c>
      <c r="C802" s="159" t="s">
        <v>1182</v>
      </c>
    </row>
    <row r="803" spans="1:3" ht="12.75" customHeight="1" x14ac:dyDescent="0.25">
      <c r="A803" s="159" t="s">
        <v>1265</v>
      </c>
      <c r="B803" s="185" t="s">
        <v>1266</v>
      </c>
      <c r="C803" s="159">
        <v>220101</v>
      </c>
    </row>
    <row r="804" spans="1:3" ht="12.75" customHeight="1" x14ac:dyDescent="0.25">
      <c r="A804" s="159" t="s">
        <v>1206</v>
      </c>
      <c r="B804" s="185" t="s">
        <v>1267</v>
      </c>
      <c r="C804" s="159">
        <v>110506</v>
      </c>
    </row>
    <row r="805" spans="1:3" ht="12.75" customHeight="1" x14ac:dyDescent="0.25">
      <c r="A805" s="159" t="s">
        <v>1268</v>
      </c>
      <c r="B805" s="185" t="s">
        <v>1269</v>
      </c>
      <c r="C805" s="159">
        <v>200104</v>
      </c>
    </row>
    <row r="806" spans="1:3" ht="12.75" customHeight="1" x14ac:dyDescent="0.25">
      <c r="A806" s="159" t="s">
        <v>1208</v>
      </c>
      <c r="B806" s="185" t="s">
        <v>1270</v>
      </c>
      <c r="C806" s="159">
        <v>250105</v>
      </c>
    </row>
    <row r="807" spans="1:3" ht="12.75" customHeight="1" x14ac:dyDescent="0.25">
      <c r="A807" s="159" t="s">
        <v>1271</v>
      </c>
      <c r="B807" s="185" t="s">
        <v>1272</v>
      </c>
      <c r="C807" s="159">
        <v>170101</v>
      </c>
    </row>
    <row r="808" spans="1:3" ht="12.75" customHeight="1" x14ac:dyDescent="0.25">
      <c r="A808" s="159" t="s">
        <v>1273</v>
      </c>
      <c r="B808" s="185" t="s">
        <v>1274</v>
      </c>
      <c r="C808" s="159">
        <v>220801</v>
      </c>
    </row>
    <row r="809" spans="1:3" ht="12.75" customHeight="1" x14ac:dyDescent="0.25">
      <c r="A809" s="159" t="s">
        <v>1275</v>
      </c>
      <c r="B809" s="185" t="s">
        <v>1276</v>
      </c>
      <c r="C809" s="159">
        <v>230101</v>
      </c>
    </row>
    <row r="810" spans="1:3" ht="12.75" customHeight="1" x14ac:dyDescent="0.25">
      <c r="A810" s="159" t="s">
        <v>1218</v>
      </c>
      <c r="B810" s="185" t="s">
        <v>1277</v>
      </c>
      <c r="C810" s="159">
        <v>200701</v>
      </c>
    </row>
    <row r="811" spans="1:3" ht="12.75" customHeight="1" x14ac:dyDescent="0.25">
      <c r="A811" s="159" t="s">
        <v>1278</v>
      </c>
      <c r="B811" s="185" t="s">
        <v>1279</v>
      </c>
      <c r="C811" s="159">
        <v>220901</v>
      </c>
    </row>
    <row r="812" spans="1:3" ht="12.75" customHeight="1" x14ac:dyDescent="0.25">
      <c r="A812" s="159" t="s">
        <v>1280</v>
      </c>
      <c r="B812" s="185" t="s">
        <v>1281</v>
      </c>
      <c r="C812" s="159">
        <v>100601</v>
      </c>
    </row>
    <row r="813" spans="1:3" ht="12.75" customHeight="1" x14ac:dyDescent="0.25">
      <c r="A813" s="159" t="s">
        <v>1282</v>
      </c>
      <c r="B813" s="185" t="s">
        <v>1283</v>
      </c>
      <c r="C813" s="159">
        <v>130104</v>
      </c>
    </row>
    <row r="814" spans="1:3" ht="12.75" customHeight="1" x14ac:dyDescent="0.25">
      <c r="A814" s="159" t="s">
        <v>1284</v>
      </c>
      <c r="B814" s="185" t="s">
        <v>1285</v>
      </c>
      <c r="C814" s="159">
        <v>240101</v>
      </c>
    </row>
    <row r="815" spans="1:3" ht="12.75" customHeight="1" x14ac:dyDescent="0.25">
      <c r="A815" s="159" t="s">
        <v>1286</v>
      </c>
      <c r="B815" s="185" t="s">
        <v>1287</v>
      </c>
      <c r="C815" s="159">
        <v>250201</v>
      </c>
    </row>
    <row r="816" spans="1:3" ht="12.75" customHeight="1" x14ac:dyDescent="0.25">
      <c r="A816" s="159" t="s">
        <v>1220</v>
      </c>
      <c r="B816" s="185" t="s">
        <v>1288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1289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1290</v>
      </c>
    </row>
    <row r="823" spans="1:2" ht="12.75" customHeight="1" x14ac:dyDescent="0.25">
      <c r="A823" s="194" t="s">
        <v>1291</v>
      </c>
      <c r="B823" s="195" t="s">
        <v>1292</v>
      </c>
    </row>
    <row r="824" spans="1:2" ht="12.75" customHeight="1" x14ac:dyDescent="0.25">
      <c r="A824" s="194" t="s">
        <v>1293</v>
      </c>
      <c r="B824" s="195" t="s">
        <v>1294</v>
      </c>
    </row>
    <row r="825" spans="1:2" ht="12.75" customHeight="1" x14ac:dyDescent="0.25">
      <c r="A825" s="194" t="s">
        <v>1295</v>
      </c>
      <c r="B825" s="195" t="s">
        <v>1296</v>
      </c>
    </row>
    <row r="826" spans="1:2" ht="12.75" customHeight="1" x14ac:dyDescent="0.25">
      <c r="A826" s="194" t="s">
        <v>1297</v>
      </c>
      <c r="B826" s="195" t="s">
        <v>1298</v>
      </c>
    </row>
    <row r="827" spans="1:2" ht="12.75" customHeight="1" x14ac:dyDescent="0.25">
      <c r="A827" s="194" t="s">
        <v>1299</v>
      </c>
      <c r="B827" s="195" t="s">
        <v>1300</v>
      </c>
    </row>
    <row r="828" spans="1:2" ht="12.75" customHeight="1" x14ac:dyDescent="0.25">
      <c r="A828" s="194" t="s">
        <v>1301</v>
      </c>
      <c r="B828" s="195" t="s">
        <v>1302</v>
      </c>
    </row>
    <row r="829" spans="1:2" ht="12.75" customHeight="1" x14ac:dyDescent="0.25">
      <c r="A829" s="194" t="s">
        <v>1303</v>
      </c>
      <c r="B829" s="195" t="s">
        <v>1304</v>
      </c>
    </row>
    <row r="830" spans="1:2" ht="12.75" customHeight="1" x14ac:dyDescent="0.25">
      <c r="A830" s="194" t="s">
        <v>1305</v>
      </c>
      <c r="B830" s="195" t="s">
        <v>1306</v>
      </c>
    </row>
    <row r="831" spans="1:2" ht="12.75" customHeight="1" x14ac:dyDescent="0.25">
      <c r="A831" s="194" t="s">
        <v>1307</v>
      </c>
      <c r="B831" s="195" t="s">
        <v>1308</v>
      </c>
    </row>
    <row r="832" spans="1:2" ht="12.75" customHeight="1" x14ac:dyDescent="0.25">
      <c r="A832" s="194" t="s">
        <v>1309</v>
      </c>
      <c r="B832" s="195" t="s">
        <v>1310</v>
      </c>
    </row>
    <row r="833" spans="1:2" ht="12.75" customHeight="1" x14ac:dyDescent="0.25">
      <c r="A833" s="194" t="s">
        <v>1311</v>
      </c>
      <c r="B833" s="195" t="s">
        <v>1312</v>
      </c>
    </row>
    <row r="834" spans="1:2" ht="12.75" customHeight="1" x14ac:dyDescent="0.25">
      <c r="A834" s="194" t="s">
        <v>1313</v>
      </c>
      <c r="B834" s="195" t="s">
        <v>1314</v>
      </c>
    </row>
    <row r="835" spans="1:2" ht="12.75" customHeight="1" x14ac:dyDescent="0.25">
      <c r="A835" s="194" t="s">
        <v>1315</v>
      </c>
      <c r="B835" s="195" t="s">
        <v>1316</v>
      </c>
    </row>
    <row r="836" spans="1:2" ht="12.75" customHeight="1" x14ac:dyDescent="0.25">
      <c r="A836" s="194" t="s">
        <v>1317</v>
      </c>
      <c r="B836" s="195" t="s">
        <v>1318</v>
      </c>
    </row>
    <row r="837" spans="1:2" ht="12.75" customHeight="1" x14ac:dyDescent="0.25">
      <c r="A837" s="194" t="s">
        <v>1319</v>
      </c>
      <c r="B837" s="195" t="s">
        <v>1320</v>
      </c>
    </row>
    <row r="838" spans="1:2" ht="12.75" customHeight="1" x14ac:dyDescent="0.25">
      <c r="A838" s="194" t="s">
        <v>1183</v>
      </c>
      <c r="B838" s="195" t="s">
        <v>1321</v>
      </c>
    </row>
    <row r="839" spans="1:2" ht="12.75" customHeight="1" x14ac:dyDescent="0.25">
      <c r="A839" s="194" t="s">
        <v>1322</v>
      </c>
      <c r="B839" s="195" t="s">
        <v>1323</v>
      </c>
    </row>
    <row r="840" spans="1:2" ht="12.75" customHeight="1" x14ac:dyDescent="0.25">
      <c r="A840" s="194" t="s">
        <v>1324</v>
      </c>
      <c r="B840" s="195" t="s">
        <v>1325</v>
      </c>
    </row>
    <row r="841" spans="1:2" ht="12.75" customHeight="1" x14ac:dyDescent="0.25">
      <c r="A841" s="194" t="s">
        <v>1326</v>
      </c>
      <c r="B841" s="195" t="s">
        <v>1327</v>
      </c>
    </row>
    <row r="842" spans="1:2" ht="12.75" customHeight="1" x14ac:dyDescent="0.25">
      <c r="A842" s="194" t="s">
        <v>1328</v>
      </c>
      <c r="B842" s="195" t="s">
        <v>1329</v>
      </c>
    </row>
    <row r="843" spans="1:2" ht="12.75" customHeight="1" x14ac:dyDescent="0.25">
      <c r="A843" s="194" t="s">
        <v>1330</v>
      </c>
      <c r="B843" s="195" t="s">
        <v>1331</v>
      </c>
    </row>
    <row r="844" spans="1:2" ht="12.75" customHeight="1" x14ac:dyDescent="0.25">
      <c r="A844" s="194" t="s">
        <v>1332</v>
      </c>
      <c r="B844" s="195" t="s">
        <v>1333</v>
      </c>
    </row>
    <row r="845" spans="1:2" ht="12.75" customHeight="1" x14ac:dyDescent="0.25">
      <c r="A845" s="194" t="s">
        <v>1334</v>
      </c>
      <c r="B845" s="195" t="s">
        <v>1335</v>
      </c>
    </row>
    <row r="846" spans="1:2" ht="12.75" customHeight="1" x14ac:dyDescent="0.25">
      <c r="A846" s="194" t="s">
        <v>1336</v>
      </c>
      <c r="B846" s="195" t="s">
        <v>1337</v>
      </c>
    </row>
    <row r="847" spans="1:2" ht="12.75" customHeight="1" x14ac:dyDescent="0.25">
      <c r="A847" s="194" t="s">
        <v>1338</v>
      </c>
      <c r="B847" s="195" t="s">
        <v>1339</v>
      </c>
    </row>
    <row r="848" spans="1:2" ht="12.75" customHeight="1" x14ac:dyDescent="0.25">
      <c r="A848" s="194" t="s">
        <v>1340</v>
      </c>
      <c r="B848" s="195" t="s">
        <v>1341</v>
      </c>
    </row>
    <row r="849" spans="1:2" ht="12.75" customHeight="1" x14ac:dyDescent="0.25">
      <c r="A849" s="194" t="s">
        <v>1342</v>
      </c>
      <c r="B849" s="195" t="s">
        <v>1343</v>
      </c>
    </row>
    <row r="850" spans="1:2" ht="12.75" customHeight="1" x14ac:dyDescent="0.25">
      <c r="A850" s="194" t="s">
        <v>1344</v>
      </c>
      <c r="B850" s="195" t="s">
        <v>1345</v>
      </c>
    </row>
    <row r="851" spans="1:2" ht="12.75" customHeight="1" x14ac:dyDescent="0.25">
      <c r="A851" s="194" t="s">
        <v>1346</v>
      </c>
      <c r="B851" s="195" t="s">
        <v>1347</v>
      </c>
    </row>
    <row r="852" spans="1:2" ht="12.75" customHeight="1" x14ac:dyDescent="0.25">
      <c r="A852" s="194" t="s">
        <v>1348</v>
      </c>
      <c r="B852" s="195" t="s">
        <v>1349</v>
      </c>
    </row>
    <row r="853" spans="1:2" ht="12.75" customHeight="1" x14ac:dyDescent="0.25">
      <c r="A853" s="194" t="s">
        <v>1350</v>
      </c>
      <c r="B853" s="195" t="s">
        <v>1351</v>
      </c>
    </row>
    <row r="854" spans="1:2" ht="12.75" customHeight="1" x14ac:dyDescent="0.25">
      <c r="A854" s="194" t="s">
        <v>1352</v>
      </c>
      <c r="B854" s="195" t="s">
        <v>1353</v>
      </c>
    </row>
    <row r="855" spans="1:2" ht="12.75" customHeight="1" x14ac:dyDescent="0.25">
      <c r="A855" s="194" t="s">
        <v>1354</v>
      </c>
      <c r="B855" s="195" t="s">
        <v>1354</v>
      </c>
    </row>
    <row r="856" spans="1:2" ht="12.75" customHeight="1" x14ac:dyDescent="0.25">
      <c r="A856" s="194" t="s">
        <v>1355</v>
      </c>
      <c r="B856" s="195" t="s">
        <v>1356</v>
      </c>
    </row>
    <row r="857" spans="1:2" ht="12.75" customHeight="1" x14ac:dyDescent="0.25">
      <c r="A857" s="194" t="s">
        <v>1357</v>
      </c>
      <c r="B857" s="195" t="s">
        <v>1358</v>
      </c>
    </row>
    <row r="858" spans="1:2" ht="12.75" customHeight="1" x14ac:dyDescent="0.25">
      <c r="A858" s="194" t="s">
        <v>1359</v>
      </c>
      <c r="B858" s="195" t="s">
        <v>1360</v>
      </c>
    </row>
    <row r="859" spans="1:2" ht="12.75" customHeight="1" x14ac:dyDescent="0.25">
      <c r="A859" s="194" t="s">
        <v>1361</v>
      </c>
      <c r="B859" s="195" t="s">
        <v>1362</v>
      </c>
    </row>
    <row r="860" spans="1:2" ht="12.75" customHeight="1" x14ac:dyDescent="0.25">
      <c r="A860" s="194" t="s">
        <v>1363</v>
      </c>
      <c r="B860" s="195" t="s">
        <v>1364</v>
      </c>
    </row>
    <row r="861" spans="1:2" ht="12.75" customHeight="1" x14ac:dyDescent="0.25">
      <c r="A861" s="194" t="s">
        <v>1365</v>
      </c>
      <c r="B861" s="195" t="s">
        <v>1366</v>
      </c>
    </row>
    <row r="862" spans="1:2" ht="12.75" customHeight="1" x14ac:dyDescent="0.25">
      <c r="A862" s="194" t="s">
        <v>1367</v>
      </c>
      <c r="B862" s="195" t="s">
        <v>1368</v>
      </c>
    </row>
    <row r="863" spans="1:2" ht="12.75" customHeight="1" x14ac:dyDescent="0.25">
      <c r="A863" s="194" t="s">
        <v>1369</v>
      </c>
      <c r="B863" s="195" t="s">
        <v>1370</v>
      </c>
    </row>
    <row r="864" spans="1:2" ht="12.75" customHeight="1" x14ac:dyDescent="0.25">
      <c r="A864" s="194" t="s">
        <v>1371</v>
      </c>
      <c r="B864" s="195" t="s">
        <v>1372</v>
      </c>
    </row>
    <row r="865" spans="1:2" ht="12.75" customHeight="1" x14ac:dyDescent="0.25">
      <c r="A865" s="194" t="s">
        <v>1373</v>
      </c>
      <c r="B865" s="195" t="s">
        <v>1374</v>
      </c>
    </row>
    <row r="866" spans="1:2" ht="12.75" customHeight="1" x14ac:dyDescent="0.25">
      <c r="A866" s="194" t="s">
        <v>116</v>
      </c>
      <c r="B866" s="195" t="s">
        <v>1375</v>
      </c>
    </row>
    <row r="867" spans="1:2" ht="12.75" customHeight="1" x14ac:dyDescent="0.25">
      <c r="A867" s="194" t="s">
        <v>1376</v>
      </c>
      <c r="B867" s="195" t="s">
        <v>1377</v>
      </c>
    </row>
    <row r="868" spans="1:2" ht="12.75" customHeight="1" x14ac:dyDescent="0.25">
      <c r="A868" s="194" t="s">
        <v>1378</v>
      </c>
      <c r="B868" s="195" t="s">
        <v>1379</v>
      </c>
    </row>
    <row r="869" spans="1:2" ht="12.75" customHeight="1" x14ac:dyDescent="0.25">
      <c r="A869" s="194" t="s">
        <v>1380</v>
      </c>
      <c r="B869" s="195" t="s">
        <v>1381</v>
      </c>
    </row>
    <row r="870" spans="1:2" ht="12.75" customHeight="1" x14ac:dyDescent="0.25">
      <c r="A870" s="194" t="s">
        <v>1382</v>
      </c>
      <c r="B870" s="195" t="s">
        <v>1383</v>
      </c>
    </row>
    <row r="871" spans="1:2" ht="12.75" customHeight="1" x14ac:dyDescent="0.25">
      <c r="A871" s="194" t="s">
        <v>1384</v>
      </c>
      <c r="B871" s="195" t="s">
        <v>1385</v>
      </c>
    </row>
    <row r="872" spans="1:2" ht="12.75" customHeight="1" x14ac:dyDescent="0.25">
      <c r="A872" s="194" t="s">
        <v>1386</v>
      </c>
      <c r="B872" s="195" t="s">
        <v>1387</v>
      </c>
    </row>
    <row r="873" spans="1:2" ht="12.75" customHeight="1" x14ac:dyDescent="0.25">
      <c r="A873" s="194" t="s">
        <v>1388</v>
      </c>
      <c r="B873" s="195" t="s">
        <v>1389</v>
      </c>
    </row>
    <row r="874" spans="1:2" ht="12.75" customHeight="1" x14ac:dyDescent="0.25">
      <c r="A874" s="194" t="s">
        <v>1390</v>
      </c>
      <c r="B874" s="195" t="s">
        <v>1391</v>
      </c>
    </row>
    <row r="875" spans="1:2" ht="12.75" customHeight="1" x14ac:dyDescent="0.25">
      <c r="A875" s="194" t="s">
        <v>1392</v>
      </c>
      <c r="B875" s="195" t="s">
        <v>1393</v>
      </c>
    </row>
    <row r="876" spans="1:2" ht="12.75" customHeight="1" x14ac:dyDescent="0.25">
      <c r="A876" s="194" t="s">
        <v>1394</v>
      </c>
      <c r="B876" s="195" t="s">
        <v>1395</v>
      </c>
    </row>
    <row r="877" spans="1:2" ht="12.75" customHeight="1" x14ac:dyDescent="0.25">
      <c r="A877" s="194" t="s">
        <v>1396</v>
      </c>
      <c r="B877" s="195" t="s">
        <v>1397</v>
      </c>
    </row>
    <row r="878" spans="1:2" ht="12.75" customHeight="1" x14ac:dyDescent="0.25">
      <c r="A878" s="194" t="s">
        <v>1398</v>
      </c>
      <c r="B878" s="195" t="s">
        <v>1399</v>
      </c>
    </row>
    <row r="879" spans="1:2" ht="12.75" customHeight="1" x14ac:dyDescent="0.25">
      <c r="A879" s="194" t="s">
        <v>1400</v>
      </c>
      <c r="B879" s="195" t="s">
        <v>1401</v>
      </c>
    </row>
    <row r="880" spans="1:2" ht="12.75" customHeight="1" x14ac:dyDescent="0.25">
      <c r="A880" s="194" t="s">
        <v>1402</v>
      </c>
      <c r="B880" s="195" t="s">
        <v>1403</v>
      </c>
    </row>
    <row r="881" spans="1:2" ht="12.75" customHeight="1" x14ac:dyDescent="0.25">
      <c r="A881" s="194" t="s">
        <v>1404</v>
      </c>
      <c r="B881" s="195" t="s">
        <v>1405</v>
      </c>
    </row>
    <row r="882" spans="1:2" ht="12.75" customHeight="1" x14ac:dyDescent="0.25">
      <c r="A882" s="194" t="s">
        <v>1204</v>
      </c>
      <c r="B882" s="195" t="s">
        <v>1406</v>
      </c>
    </row>
    <row r="883" spans="1:2" ht="12.75" customHeight="1" x14ac:dyDescent="0.25">
      <c r="A883" s="194" t="s">
        <v>1407</v>
      </c>
      <c r="B883" s="195" t="s">
        <v>1408</v>
      </c>
    </row>
    <row r="884" spans="1:2" ht="12.75" customHeight="1" x14ac:dyDescent="0.25">
      <c r="A884" s="194" t="s">
        <v>1409</v>
      </c>
      <c r="B884" s="195" t="s">
        <v>1410</v>
      </c>
    </row>
    <row r="885" spans="1:2" ht="12.75" customHeight="1" x14ac:dyDescent="0.25">
      <c r="A885" s="194" t="s">
        <v>1411</v>
      </c>
      <c r="B885" s="195" t="s">
        <v>1412</v>
      </c>
    </row>
    <row r="886" spans="1:2" ht="12.75" customHeight="1" x14ac:dyDescent="0.25">
      <c r="A886" s="194" t="s">
        <v>1413</v>
      </c>
      <c r="B886" s="195" t="s">
        <v>1414</v>
      </c>
    </row>
    <row r="887" spans="1:2" ht="12.75" customHeight="1" x14ac:dyDescent="0.25">
      <c r="A887" s="194" t="s">
        <v>1415</v>
      </c>
      <c r="B887" s="195" t="s">
        <v>1416</v>
      </c>
    </row>
    <row r="888" spans="1:2" ht="12.75" customHeight="1" x14ac:dyDescent="0.25">
      <c r="A888" s="194" t="s">
        <v>1417</v>
      </c>
      <c r="B888" s="195" t="s">
        <v>1418</v>
      </c>
    </row>
    <row r="889" spans="1:2" ht="12.75" customHeight="1" x14ac:dyDescent="0.25">
      <c r="A889" s="194" t="s">
        <v>1419</v>
      </c>
      <c r="B889" s="195" t="s">
        <v>1420</v>
      </c>
    </row>
    <row r="890" spans="1:2" ht="12.75" customHeight="1" x14ac:dyDescent="0.25">
      <c r="A890" s="194" t="s">
        <v>1421</v>
      </c>
      <c r="B890" s="195" t="s">
        <v>1422</v>
      </c>
    </row>
    <row r="891" spans="1:2" ht="12.75" customHeight="1" x14ac:dyDescent="0.25">
      <c r="A891" s="194" t="s">
        <v>1423</v>
      </c>
      <c r="B891" s="195" t="s">
        <v>1424</v>
      </c>
    </row>
    <row r="892" spans="1:2" ht="12.75" customHeight="1" x14ac:dyDescent="0.25">
      <c r="A892" s="194" t="s">
        <v>1425</v>
      </c>
      <c r="B892" s="195" t="s">
        <v>1426</v>
      </c>
    </row>
    <row r="893" spans="1:2" ht="12.75" customHeight="1" x14ac:dyDescent="0.25">
      <c r="A893" s="194" t="s">
        <v>1427</v>
      </c>
      <c r="B893" s="195" t="s">
        <v>1428</v>
      </c>
    </row>
    <row r="894" spans="1:2" ht="12.75" customHeight="1" x14ac:dyDescent="0.25">
      <c r="A894" s="194" t="s">
        <v>1429</v>
      </c>
      <c r="B894" s="195" t="s">
        <v>1430</v>
      </c>
    </row>
    <row r="895" spans="1:2" ht="12.75" customHeight="1" x14ac:dyDescent="0.25">
      <c r="A895" s="194" t="s">
        <v>1431</v>
      </c>
      <c r="B895" s="195" t="s">
        <v>1432</v>
      </c>
    </row>
    <row r="896" spans="1:2" ht="12.75" customHeight="1" x14ac:dyDescent="0.25">
      <c r="A896" s="194" t="s">
        <v>1433</v>
      </c>
      <c r="B896" s="195" t="s">
        <v>1434</v>
      </c>
    </row>
    <row r="897" spans="1:2" ht="12.75" customHeight="1" x14ac:dyDescent="0.25">
      <c r="A897" s="194" t="s">
        <v>1435</v>
      </c>
      <c r="B897" s="195" t="s">
        <v>1436</v>
      </c>
    </row>
    <row r="898" spans="1:2" ht="12.75" customHeight="1" x14ac:dyDescent="0.25">
      <c r="A898" s="194" t="s">
        <v>1437</v>
      </c>
      <c r="B898" s="195" t="s">
        <v>1438</v>
      </c>
    </row>
    <row r="899" spans="1:2" ht="12.75" customHeight="1" x14ac:dyDescent="0.25">
      <c r="A899" s="194" t="s">
        <v>1439</v>
      </c>
      <c r="B899" s="195" t="s">
        <v>1440</v>
      </c>
    </row>
    <row r="900" spans="1:2" ht="12.75" customHeight="1" x14ac:dyDescent="0.25">
      <c r="A900" s="194" t="s">
        <v>1441</v>
      </c>
      <c r="B900" s="195" t="s">
        <v>1441</v>
      </c>
    </row>
    <row r="901" spans="1:2" ht="12.75" customHeight="1" x14ac:dyDescent="0.25">
      <c r="A901" s="194" t="s">
        <v>1442</v>
      </c>
      <c r="B901" s="195" t="s">
        <v>1443</v>
      </c>
    </row>
    <row r="902" spans="1:2" ht="12.75" customHeight="1" x14ac:dyDescent="0.25">
      <c r="A902" s="194" t="s">
        <v>1444</v>
      </c>
      <c r="B902" s="195" t="s">
        <v>1445</v>
      </c>
    </row>
    <row r="903" spans="1:2" ht="12.75" customHeight="1" x14ac:dyDescent="0.25">
      <c r="A903" s="194" t="s">
        <v>1446</v>
      </c>
      <c r="B903" s="195" t="s">
        <v>1447</v>
      </c>
    </row>
    <row r="904" spans="1:2" ht="12.75" customHeight="1" x14ac:dyDescent="0.25">
      <c r="A904" s="194" t="s">
        <v>1448</v>
      </c>
      <c r="B904" s="195" t="s">
        <v>1449</v>
      </c>
    </row>
    <row r="905" spans="1:2" ht="12.75" customHeight="1" x14ac:dyDescent="0.25">
      <c r="A905" s="194" t="s">
        <v>1450</v>
      </c>
      <c r="B905" s="195" t="s">
        <v>1451</v>
      </c>
    </row>
    <row r="906" spans="1:2" ht="12.75" customHeight="1" x14ac:dyDescent="0.25">
      <c r="A906" s="194" t="s">
        <v>1452</v>
      </c>
      <c r="B906" s="195" t="s">
        <v>1453</v>
      </c>
    </row>
    <row r="907" spans="1:2" ht="12.75" customHeight="1" x14ac:dyDescent="0.25">
      <c r="A907" s="194" t="s">
        <v>1454</v>
      </c>
      <c r="B907" s="195" t="s">
        <v>1455</v>
      </c>
    </row>
    <row r="908" spans="1:2" ht="12.75" customHeight="1" x14ac:dyDescent="0.25">
      <c r="A908" s="194" t="s">
        <v>1456</v>
      </c>
      <c r="B908" s="195" t="s">
        <v>1457</v>
      </c>
    </row>
    <row r="909" spans="1:2" ht="12.75" customHeight="1" x14ac:dyDescent="0.25">
      <c r="A909" s="194" t="s">
        <v>1458</v>
      </c>
      <c r="B909" s="195" t="s">
        <v>1459</v>
      </c>
    </row>
    <row r="910" spans="1:2" ht="12.75" customHeight="1" x14ac:dyDescent="0.25">
      <c r="A910" s="194" t="s">
        <v>1460</v>
      </c>
      <c r="B910" s="195" t="s">
        <v>1461</v>
      </c>
    </row>
    <row r="911" spans="1:2" ht="12.75" customHeight="1" x14ac:dyDescent="0.25">
      <c r="A911" s="194" t="s">
        <v>1462</v>
      </c>
      <c r="B911" s="195" t="s">
        <v>1463</v>
      </c>
    </row>
    <row r="912" spans="1:2" ht="12.75" customHeight="1" x14ac:dyDescent="0.25">
      <c r="A912" s="194" t="s">
        <v>1464</v>
      </c>
      <c r="B912" s="195" t="s">
        <v>1465</v>
      </c>
    </row>
    <row r="913" spans="1:3" ht="12.75" customHeight="1" x14ac:dyDescent="0.25">
      <c r="A913" s="194" t="s">
        <v>1466</v>
      </c>
      <c r="B913" s="195" t="s">
        <v>1467</v>
      </c>
    </row>
    <row r="914" spans="1:3" ht="12.75" customHeight="1" x14ac:dyDescent="0.25">
      <c r="A914" s="194" t="s">
        <v>1468</v>
      </c>
      <c r="B914" s="195" t="s">
        <v>1469</v>
      </c>
    </row>
    <row r="915" spans="1:3" ht="12.75" customHeight="1" x14ac:dyDescent="0.25">
      <c r="A915" s="194" t="s">
        <v>1470</v>
      </c>
      <c r="B915" s="195" t="s">
        <v>1471</v>
      </c>
    </row>
    <row r="916" spans="1:3" ht="12.75" customHeight="1" x14ac:dyDescent="0.25">
      <c r="A916" s="194" t="s">
        <v>1472</v>
      </c>
      <c r="B916" s="195" t="s">
        <v>1473</v>
      </c>
    </row>
    <row r="917" spans="1:3" ht="12.75" customHeight="1" x14ac:dyDescent="0.25">
      <c r="A917" s="194" t="s">
        <v>1474</v>
      </c>
      <c r="B917" s="195" t="s">
        <v>1475</v>
      </c>
    </row>
    <row r="918" spans="1:3" ht="12.75" customHeight="1" x14ac:dyDescent="0.25">
      <c r="A918" s="194" t="s">
        <v>1476</v>
      </c>
      <c r="B918" s="195" t="s">
        <v>1477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1" t="s">
        <v>1478</v>
      </c>
      <c r="B921" s="241"/>
      <c r="C921" s="241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1479</v>
      </c>
    </row>
    <row r="924" spans="1:3" ht="12.75" customHeight="1" x14ac:dyDescent="0.25">
      <c r="A924" s="196" t="s">
        <v>150</v>
      </c>
      <c r="B924" s="99" t="s">
        <v>1480</v>
      </c>
    </row>
    <row r="925" spans="1:3" ht="12.75" customHeight="1" x14ac:dyDescent="0.25">
      <c r="A925" s="197" t="s">
        <v>152</v>
      </c>
      <c r="B925" s="198" t="s">
        <v>390</v>
      </c>
      <c r="C925" s="198" t="s">
        <v>1481</v>
      </c>
    </row>
    <row r="926" spans="1:3" ht="12.75" customHeight="1" x14ac:dyDescent="0.25">
      <c r="A926" s="159" t="s">
        <v>98</v>
      </c>
      <c r="B926" s="185" t="s">
        <v>1482</v>
      </c>
      <c r="C926" s="159" t="s">
        <v>1483</v>
      </c>
    </row>
    <row r="927" spans="1:3" ht="12.75" customHeight="1" x14ac:dyDescent="0.25">
      <c r="A927" s="159" t="s">
        <v>214</v>
      </c>
      <c r="B927" s="185" t="s">
        <v>1484</v>
      </c>
      <c r="C927" s="159" t="s">
        <v>1485</v>
      </c>
    </row>
    <row r="928" spans="1:3" ht="12.75" customHeight="1" x14ac:dyDescent="0.25">
      <c r="A928" s="159" t="s">
        <v>36</v>
      </c>
      <c r="B928" s="185" t="s">
        <v>1486</v>
      </c>
      <c r="C928" s="159" t="s">
        <v>1487</v>
      </c>
    </row>
    <row r="929" spans="1:3" ht="12.75" customHeight="1" x14ac:dyDescent="0.25">
      <c r="A929" s="159" t="s">
        <v>215</v>
      </c>
      <c r="B929" s="185" t="s">
        <v>1488</v>
      </c>
      <c r="C929" s="159" t="s">
        <v>1489</v>
      </c>
    </row>
    <row r="930" spans="1:3" ht="12.75" customHeight="1" x14ac:dyDescent="0.25">
      <c r="A930" s="159" t="s">
        <v>339</v>
      </c>
      <c r="B930" s="185" t="s">
        <v>1490</v>
      </c>
      <c r="C930" s="159" t="s">
        <v>1491</v>
      </c>
    </row>
    <row r="931" spans="1:3" ht="12.75" customHeight="1" x14ac:dyDescent="0.25">
      <c r="A931" s="159" t="s">
        <v>99</v>
      </c>
      <c r="B931" s="185" t="s">
        <v>1492</v>
      </c>
      <c r="C931" s="159" t="s">
        <v>1493</v>
      </c>
    </row>
    <row r="932" spans="1:3" ht="12.75" customHeight="1" x14ac:dyDescent="0.25">
      <c r="A932" s="159" t="s">
        <v>68</v>
      </c>
      <c r="B932" s="185" t="s">
        <v>1494</v>
      </c>
      <c r="C932" s="159" t="s">
        <v>1495</v>
      </c>
    </row>
    <row r="933" spans="1:3" ht="12.75" customHeight="1" x14ac:dyDescent="0.25">
      <c r="A933" s="159" t="s">
        <v>343</v>
      </c>
      <c r="B933" s="185" t="s">
        <v>1496</v>
      </c>
      <c r="C933" s="159" t="s">
        <v>1497</v>
      </c>
    </row>
    <row r="934" spans="1:3" ht="12.75" customHeight="1" x14ac:dyDescent="0.25">
      <c r="A934" s="159" t="s">
        <v>345</v>
      </c>
      <c r="B934" s="185" t="s">
        <v>1498</v>
      </c>
      <c r="C934" s="159" t="s">
        <v>1499</v>
      </c>
    </row>
    <row r="935" spans="1:3" ht="12.75" customHeight="1" x14ac:dyDescent="0.25">
      <c r="A935" s="159">
        <v>10</v>
      </c>
      <c r="B935" s="185" t="s">
        <v>1500</v>
      </c>
      <c r="C935" s="159" t="s">
        <v>1501</v>
      </c>
    </row>
    <row r="936" spans="1:3" ht="12.75" customHeight="1" x14ac:dyDescent="0.25">
      <c r="A936" s="159">
        <v>11</v>
      </c>
      <c r="B936" s="185" t="s">
        <v>1502</v>
      </c>
      <c r="C936" s="159" t="s">
        <v>1503</v>
      </c>
    </row>
    <row r="937" spans="1:3" ht="12.75" customHeight="1" x14ac:dyDescent="0.25">
      <c r="A937" s="159">
        <v>12</v>
      </c>
      <c r="B937" s="185" t="s">
        <v>1504</v>
      </c>
      <c r="C937" s="159" t="s">
        <v>1332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353"/>
  <sheetViews>
    <sheetView topLeftCell="A1337" workbookViewId="0">
      <selection activeCell="A1351" sqref="A1351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1535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 t="s">
        <v>103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1521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20606109343</v>
      </c>
      <c r="F7" s="14"/>
      <c r="G7" s="72" t="str">
        <f t="shared" si="0"/>
        <v>A;RUTEmis;;20606109343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1542</v>
      </c>
      <c r="F9" s="14"/>
      <c r="G9" s="72" t="str">
        <f t="shared" si="0"/>
        <v>A;NomComer;;Solana Comercial S.A.C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1543</v>
      </c>
      <c r="F10" s="14"/>
      <c r="G10" s="72" t="str">
        <f t="shared" si="0"/>
        <v>A;DirEmis;;AV SANTO TORIBIO N.143 INTERIOR 301 URB EL ROSARIO, SAN ISIDRO, LIMA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207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208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2023-03-10</v>
      </c>
      <c r="G25" s="72" t="str">
        <f t="shared" si="1"/>
        <v>A;FchEmis;;2023-03-10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18:06:07</v>
      </c>
      <c r="F26" s="14"/>
      <c r="G26" s="72" t="str">
        <f t="shared" ca="1" si="1"/>
        <v>A;HoraEmision;;18:06:07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>
        <f>MACRO!I15</f>
        <v>0.03</v>
      </c>
      <c r="F42" s="14"/>
      <c r="G42" s="72" t="str">
        <f t="shared" si="2"/>
        <v>B;TasaIgv;1;0.03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3</v>
      </c>
      <c r="G51" s="72" t="str">
        <f t="shared" si="2"/>
        <v>B;PrcItemSinIgv;2;3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0</v>
      </c>
      <c r="F55" s="14"/>
      <c r="G55" s="72" t="str">
        <f t="shared" si="2"/>
        <v>B;TasaIgv;2;0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</v>
      </c>
      <c r="G56" s="72" t="str">
        <f t="shared" si="2"/>
        <v>B;ImpuestoIgv;2;0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25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25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25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25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25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25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25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25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25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25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>
        <f>MACRO!I17</f>
        <v>0</v>
      </c>
      <c r="F68" s="14"/>
      <c r="G68" s="72" t="str">
        <f t="shared" si="2"/>
        <v/>
      </c>
      <c r="L68" s="208"/>
      <c r="N68" s="208"/>
    </row>
    <row r="69" spans="1:14" x14ac:dyDescent="0.25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25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25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>
        <f>MACRO!I18</f>
        <v>0</v>
      </c>
      <c r="F81" s="14"/>
      <c r="G81" s="72" t="str">
        <f t="shared" si="2"/>
        <v/>
      </c>
      <c r="L81" s="208"/>
      <c r="N81" s="208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25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>
        <f>MACRO!I19</f>
        <v>0</v>
      </c>
      <c r="F94" s="14"/>
      <c r="G94" s="72" t="str">
        <f t="shared" si="2"/>
        <v/>
      </c>
      <c r="L94" s="208"/>
      <c r="N94" s="208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25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>
        <f>MACRO!I20</f>
        <v>0</v>
      </c>
      <c r="F107" s="14"/>
      <c r="G107" s="72" t="str">
        <f t="shared" si="9"/>
        <v/>
      </c>
      <c r="L107" s="208"/>
      <c r="N107" s="208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25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>
        <f>MACRO!I21</f>
        <v>0</v>
      </c>
      <c r="F120" s="14"/>
      <c r="G120" s="72" t="str">
        <f t="shared" si="9"/>
        <v/>
      </c>
      <c r="L120" s="208"/>
      <c r="N120" s="208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25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>
        <f>MACRO!I22</f>
        <v>0</v>
      </c>
      <c r="F133" s="14"/>
      <c r="G133" s="72" t="str">
        <f t="shared" si="9"/>
        <v/>
      </c>
      <c r="L133" s="208"/>
      <c r="N133" s="208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25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>
        <f>MACRO!I23</f>
        <v>0</v>
      </c>
      <c r="F146" s="14"/>
      <c r="G146" s="72" t="str">
        <f t="shared" si="9"/>
        <v/>
      </c>
      <c r="L146" s="208"/>
      <c r="N146" s="208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25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>
        <f>MACRO!I24</f>
        <v>0</v>
      </c>
      <c r="F159" s="14"/>
      <c r="G159" s="72" t="str">
        <f t="shared" si="9"/>
        <v/>
      </c>
      <c r="L159" s="208"/>
      <c r="N159" s="208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25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>
        <f>MACRO!I25</f>
        <v>0</v>
      </c>
      <c r="F172" s="14"/>
      <c r="G172" s="72" t="str">
        <f t="shared" si="16"/>
        <v/>
      </c>
      <c r="L172" s="208"/>
      <c r="N172" s="208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25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>
        <f>MACRO!I26</f>
        <v>0</v>
      </c>
      <c r="F185" s="14"/>
      <c r="G185" s="72" t="str">
        <f t="shared" si="16"/>
        <v/>
      </c>
      <c r="L185" s="208"/>
      <c r="N185" s="208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25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>
        <f>MACRO!I27</f>
        <v>0</v>
      </c>
      <c r="F198" s="14"/>
      <c r="G198" s="72" t="str">
        <f t="shared" si="16"/>
        <v/>
      </c>
      <c r="L198" s="208"/>
      <c r="N198" s="208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25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>
        <f>MACRO!I28</f>
        <v>0</v>
      </c>
      <c r="F211" s="14"/>
      <c r="G211" s="72" t="str">
        <f t="shared" si="16"/>
        <v/>
      </c>
      <c r="L211" s="208"/>
      <c r="N211" s="208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25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>
        <f>MACRO!I29</f>
        <v>0</v>
      </c>
      <c r="F224" s="14"/>
      <c r="G224" s="72" t="str">
        <f t="shared" si="16"/>
        <v/>
      </c>
      <c r="L224" s="208"/>
      <c r="N224" s="208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25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>
        <f>MACRO!I30</f>
        <v>0</v>
      </c>
      <c r="F237" s="14"/>
      <c r="G237" s="72" t="str">
        <f t="shared" si="22"/>
        <v/>
      </c>
      <c r="L237" s="208"/>
      <c r="N237" s="208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25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>
        <f>MACRO!I31</f>
        <v>0</v>
      </c>
      <c r="F250" s="14"/>
      <c r="G250" s="72" t="str">
        <f t="shared" si="22"/>
        <v/>
      </c>
      <c r="L250" s="208"/>
      <c r="N250" s="208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>
        <f>MACRO!I32</f>
        <v>0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>
        <f>MACRO!I33</f>
        <v>0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>
        <f>MACRO!I34</f>
        <v>0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>
        <f>MACRO!I36</f>
        <v>0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>
        <f>MACRO!I37</f>
        <v>0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>
        <f>MACRO!I38</f>
        <v>0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>
        <f>MACRO!I39</f>
        <v>0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>
        <f>MACRO!I40</f>
        <v>0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>
        <f>MACRO!I41</f>
        <v>0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>
        <f>MACRO!I42</f>
        <v>0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>
        <f>MACRO!I43</f>
        <v>0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>
        <f>MACRO!I44</f>
        <v>0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>
        <f>MACRO!I45</f>
        <v>0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>
        <f>MACRO!I46</f>
        <v>0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>
        <f>MACRO!I47</f>
        <v>0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213</v>
      </c>
      <c r="C1333" t="s">
        <v>210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213</v>
      </c>
      <c r="C1334" t="s">
        <v>211</v>
      </c>
      <c r="D1334">
        <v>1</v>
      </c>
      <c r="E1334" t="str">
        <f>MACRO!$D$10</f>
        <v>BZYX</v>
      </c>
      <c r="G1334" s="72" t="str">
        <f t="shared" si="144"/>
        <v>D;SerieRef;1;BZYX</v>
      </c>
      <c r="N1334" s="208"/>
    </row>
    <row r="1335" spans="1:14" x14ac:dyDescent="0.25">
      <c r="A1335" t="str">
        <f>IF($E$1335&gt;0,"go","null")</f>
        <v>go</v>
      </c>
      <c r="B1335" t="s">
        <v>213</v>
      </c>
      <c r="C1335" t="s">
        <v>212</v>
      </c>
      <c r="D1335">
        <v>1</v>
      </c>
      <c r="E1335" t="str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53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 t="str">
        <f>$A$1350</f>
        <v>go</v>
      </c>
      <c r="B1348" t="s">
        <v>115</v>
      </c>
      <c r="C1348" t="s">
        <v>112</v>
      </c>
      <c r="D1348">
        <v>7</v>
      </c>
      <c r="E1348" s="212" t="s">
        <v>98</v>
      </c>
      <c r="G1348" s="72" t="str">
        <f t="shared" si="145"/>
        <v>E;TipoAdicSunat;7;01</v>
      </c>
      <c r="N1348" s="208"/>
    </row>
    <row r="1349" spans="1:14" x14ac:dyDescent="0.25">
      <c r="A1349" s="72" t="str">
        <f>$A$1350</f>
        <v>go</v>
      </c>
      <c r="B1349" t="s">
        <v>115</v>
      </c>
      <c r="C1349" t="s">
        <v>113</v>
      </c>
      <c r="D1349">
        <v>7</v>
      </c>
      <c r="E1349" s="212" t="s">
        <v>68</v>
      </c>
      <c r="G1349" s="72" t="str">
        <f t="shared" si="145"/>
        <v>E;NmrLineasAdicSunat;7;07</v>
      </c>
      <c r="N1349" s="208"/>
    </row>
    <row r="1350" spans="1:14" x14ac:dyDescent="0.25">
      <c r="A1350" s="72" t="str">
        <f>IF($E$1350="VACIO","null","go")</f>
        <v>go</v>
      </c>
      <c r="B1350" t="s">
        <v>115</v>
      </c>
      <c r="C1350" t="s">
        <v>114</v>
      </c>
      <c r="D1350">
        <v>7</v>
      </c>
      <c r="E1350" s="72">
        <f>IF(ISBLANK(MACRO!$I$9),"VACIO",MACRO!$I$9)</f>
        <v>3.2</v>
      </c>
      <c r="G1350" s="72" t="str">
        <f t="shared" si="145"/>
        <v>E;DescripcionAdicsunat;7;3.2</v>
      </c>
      <c r="N1350" s="208"/>
    </row>
    <row r="1351" spans="1:14" x14ac:dyDescent="0.25">
      <c r="A1351" s="72" t="str">
        <f>$A$1353</f>
        <v>go</v>
      </c>
      <c r="B1351" t="s">
        <v>115</v>
      </c>
      <c r="C1351" t="s">
        <v>112</v>
      </c>
      <c r="D1351">
        <v>8</v>
      </c>
      <c r="E1351" s="212" t="s">
        <v>98</v>
      </c>
      <c r="G1351" s="72" t="str">
        <f t="shared" si="145"/>
        <v>E;TipoAdicSunat;8;01</v>
      </c>
      <c r="N1351" s="208"/>
    </row>
    <row r="1352" spans="1:14" x14ac:dyDescent="0.25">
      <c r="A1352" s="72" t="str">
        <f>$A$1353</f>
        <v>go</v>
      </c>
      <c r="B1352" t="s">
        <v>115</v>
      </c>
      <c r="C1352" t="s">
        <v>113</v>
      </c>
      <c r="D1352">
        <v>8</v>
      </c>
      <c r="E1352" s="212" t="s">
        <v>343</v>
      </c>
      <c r="G1352" s="72" t="str">
        <f t="shared" si="145"/>
        <v>E;NmrLineasAdicSunat;8;08</v>
      </c>
      <c r="N1352" s="208"/>
    </row>
    <row r="1353" spans="1:14" x14ac:dyDescent="0.25">
      <c r="A1353" s="72" t="str">
        <f>IF($E$1353="VACIO","null","go")</f>
        <v>go</v>
      </c>
      <c r="B1353" t="s">
        <v>115</v>
      </c>
      <c r="C1353" t="s">
        <v>114</v>
      </c>
      <c r="D1353">
        <v>8</v>
      </c>
      <c r="E1353" s="72">
        <f>IF(ISBLANK(MACRO!$I$10),"VACIO",MACRO!$I$10)</f>
        <v>3.1700000000000004</v>
      </c>
      <c r="G1353" s="72" t="str">
        <f t="shared" si="145"/>
        <v>E;DescripcionAdicsunat;8;3.17</v>
      </c>
      <c r="N1353" s="20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460</v>
      </c>
      <c r="B1" s="102" t="s">
        <v>98</v>
      </c>
    </row>
    <row r="2" spans="1:2" x14ac:dyDescent="0.25">
      <c r="A2" s="99" t="s">
        <v>461</v>
      </c>
      <c r="B2" s="102" t="s">
        <v>214</v>
      </c>
    </row>
    <row r="3" spans="1:2" x14ac:dyDescent="0.25">
      <c r="A3" s="99" t="s">
        <v>462</v>
      </c>
      <c r="B3" s="102" t="s">
        <v>36</v>
      </c>
    </row>
    <row r="4" spans="1:2" x14ac:dyDescent="0.25">
      <c r="A4" s="99" t="s">
        <v>463</v>
      </c>
      <c r="B4" s="102" t="s">
        <v>215</v>
      </c>
    </row>
    <row r="5" spans="1:2" x14ac:dyDescent="0.25">
      <c r="A5" s="99" t="s">
        <v>464</v>
      </c>
      <c r="B5" s="102" t="s">
        <v>339</v>
      </c>
    </row>
    <row r="6" spans="1:2" x14ac:dyDescent="0.25">
      <c r="A6" s="99" t="s">
        <v>465</v>
      </c>
      <c r="B6" s="102" t="s">
        <v>99</v>
      </c>
    </row>
    <row r="7" spans="1:2" x14ac:dyDescent="0.25">
      <c r="A7" s="99" t="s">
        <v>466</v>
      </c>
      <c r="B7" s="102" t="s">
        <v>68</v>
      </c>
    </row>
    <row r="8" spans="1:2" x14ac:dyDescent="0.25">
      <c r="A8" s="99" t="s">
        <v>467</v>
      </c>
      <c r="B8" s="102" t="s">
        <v>343</v>
      </c>
    </row>
    <row r="9" spans="1:2" x14ac:dyDescent="0.25">
      <c r="A9" s="99" t="s">
        <v>468</v>
      </c>
      <c r="B9" s="102" t="s">
        <v>345</v>
      </c>
    </row>
    <row r="10" spans="1:2" x14ac:dyDescent="0.25">
      <c r="A10" s="99" t="s">
        <v>469</v>
      </c>
      <c r="B10" s="102" t="s">
        <v>107</v>
      </c>
    </row>
    <row r="11" spans="1:2" x14ac:dyDescent="0.25">
      <c r="A11" s="99" t="s">
        <v>470</v>
      </c>
      <c r="B11" s="102">
        <v>11</v>
      </c>
    </row>
    <row r="12" spans="1:2" x14ac:dyDescent="0.25">
      <c r="A12" s="99" t="s">
        <v>471</v>
      </c>
      <c r="B12" s="102">
        <v>12</v>
      </c>
    </row>
    <row r="13" spans="1:2" x14ac:dyDescent="0.25">
      <c r="A13" s="120" t="s">
        <v>472</v>
      </c>
      <c r="B13" s="119">
        <v>13</v>
      </c>
    </row>
    <row r="14" spans="1:2" x14ac:dyDescent="0.25">
      <c r="A14" s="99" t="s">
        <v>474</v>
      </c>
      <c r="B14" s="102" t="s">
        <v>98</v>
      </c>
    </row>
    <row r="15" spans="1:2" x14ac:dyDescent="0.25">
      <c r="A15" s="99" t="s">
        <v>475</v>
      </c>
      <c r="B15" s="102" t="s">
        <v>214</v>
      </c>
    </row>
    <row r="16" spans="1:2" x14ac:dyDescent="0.25">
      <c r="A16" s="99" t="s">
        <v>476</v>
      </c>
      <c r="B16" s="102" t="s">
        <v>36</v>
      </c>
    </row>
    <row r="17" spans="1:2" x14ac:dyDescent="0.25">
      <c r="A17" s="99" t="s">
        <v>470</v>
      </c>
      <c r="B17" s="102">
        <v>11</v>
      </c>
    </row>
    <row r="18" spans="1:2" x14ac:dyDescent="0.25">
      <c r="A18" s="99" t="s">
        <v>471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2023-03-10T23:07:26Z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